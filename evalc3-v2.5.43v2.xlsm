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3.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tables/table4.xml" ContentType="application/vnd.openxmlformats-officedocument.spreadsheetml.table+xml"/>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showInkAnnotation="0" codeName="ThisWorkbook"/>
  <mc:AlternateContent xmlns:mc="http://schemas.openxmlformats.org/markup-compatibility/2006">
    <mc:Choice Requires="x15">
      <x15ac:absPath xmlns:x15ac="http://schemas.microsoft.com/office/spreadsheetml/2010/11/ac" url="C:\Users\rickd\Documents\__Papers\2021\EvalC3\"/>
    </mc:Choice>
  </mc:AlternateContent>
  <xr:revisionPtr revIDLastSave="0" documentId="13_ncr:1_{D19AEB32-91F1-4D3B-AF7C-CE94C6567091}" xr6:coauthVersionLast="46" xr6:coauthVersionMax="46" xr10:uidLastSave="{00000000-0000-0000-0000-000000000000}"/>
  <bookViews>
    <workbookView xWindow="-120" yWindow="-120" windowWidth="29040" windowHeight="15840" tabRatio="759" xr2:uid="{00000000-000D-0000-FFFF-FFFF00000000}"/>
  </bookViews>
  <sheets>
    <sheet name="Get Started" sheetId="66" r:id="rId1"/>
    <sheet name="Sheet1" sheetId="103" state="hidden" r:id="rId2"/>
    <sheet name="Input Data" sheetId="57" r:id="rId3"/>
    <sheet name="Select Data" sheetId="67" r:id="rId4"/>
    <sheet name="Consistency and Coverage" sheetId="98" state="hidden" r:id="rId5"/>
    <sheet name="Design &amp; Evaluate" sheetId="16" r:id="rId6"/>
    <sheet name="View Models" sheetId="63" r:id="rId7"/>
    <sheet name="RawData" sheetId="21" state="hidden" r:id="rId8"/>
    <sheet name="Search Results" sheetId="65" state="hidden" r:id="rId9"/>
    <sheet name="Decision Tree" sheetId="90" r:id="rId10"/>
    <sheet name="View Cases" sheetId="23" r:id="rId11"/>
    <sheet name="Shared Coverage" sheetId="83" state="hidden" r:id="rId12"/>
    <sheet name="Compare Models" sheetId="85" r:id="rId13"/>
    <sheet name="User Notes" sheetId="71" r:id="rId14"/>
    <sheet name="Bug fixes" sheetId="102" state="hidden" r:id="rId15"/>
    <sheet name="Internal" sheetId="20" state="hidden" r:id="rId16"/>
    <sheet name="Hidden Data" sheetId="70" state="hidden" r:id="rId17"/>
    <sheet name="Workings" sheetId="61" state="hidden" r:id="rId18"/>
    <sheet name="Reference" sheetId="69" state="hidden" r:id="rId19"/>
    <sheet name="Similarity" sheetId="82" state="hidden" r:id="rId20"/>
    <sheet name="Hidden Models" sheetId="100" state="hidden" r:id="rId21"/>
    <sheet name="HELP" sheetId="106" r:id="rId22"/>
  </sheets>
  <functionGroups builtInGroupCount="19"/>
  <externalReferences>
    <externalReference r:id="rId23"/>
  </externalReferences>
  <definedNames>
    <definedName name="a">#REF!</definedName>
    <definedName name="Accuracy">'Design &amp; Evaluate'!$I$19</definedName>
    <definedName name="attr_Electoral_system">'Design &amp; Evaluate'!$C$12</definedName>
    <definedName name="attr_Level_of_human_development" localSheetId="12">'Design &amp; Evaluate'!#REF!</definedName>
    <definedName name="attr_Level_of_human_development" localSheetId="9">'Design &amp; Evaluate'!#REF!</definedName>
    <definedName name="attr_Level_of_human_development">'Design &amp; Evaluate'!#REF!</definedName>
    <definedName name="attr_Post_conflict_situation" localSheetId="12">'Design &amp; Evaluate'!#REF!</definedName>
    <definedName name="attr_Post_conflict_situation" localSheetId="9">'Design &amp; Evaluate'!#REF!</definedName>
    <definedName name="attr_Post_conflict_situation">'Design &amp; Evaluate'!#REF!</definedName>
    <definedName name="attr_Quotas" localSheetId="12">'Design &amp; Evaluate'!#REF!</definedName>
    <definedName name="attr_Quotas" localSheetId="9">'Design &amp; Evaluate'!#REF!</definedName>
    <definedName name="attr_Quotas">'Design &amp; Evaluate'!#REF!</definedName>
    <definedName name="attr_Women_s_status" localSheetId="12">'Design &amp; Evaluate'!#REF!</definedName>
    <definedName name="attr_Women_s_status" localSheetId="9">'Design &amp; Evaluate'!#REF!</definedName>
    <definedName name="attr_Women_s_status">'Design &amp; Evaluate'!#REF!</definedName>
    <definedName name="AttributeColCountError" localSheetId="15">Internal!$E$4</definedName>
    <definedName name="attributeConfigCount">'Consistency and Coverage'!$B$3</definedName>
    <definedName name="attributeCount">'Select Data'!$J$6</definedName>
    <definedName name="AttributeLabel">Internal!$B$4</definedName>
    <definedName name="attributes">'Hidden Data'!$E$6:$I$31</definedName>
    <definedName name="attributeString">'Consistency and Coverage'!$K$10:$K$35</definedName>
    <definedName name="atts">#REF!</definedName>
    <definedName name="attSelectors">'Select Data'!$C$6:$I$6</definedName>
    <definedName name="Balanced_Accuracy">'Design &amp; Evaluate'!$I$20</definedName>
    <definedName name="Capacity_building__of__civil_soc_org" localSheetId="11">'Design &amp; Evaluate'!#REF!</definedName>
    <definedName name="Capacity_building__of__local_CBOs" localSheetId="11">'Design &amp; Evaluate'!#REF!</definedName>
    <definedName name="Capacity_building__of__local_gov" localSheetId="11">'Design &amp; Evaluate'!#REF!</definedName>
    <definedName name="Capacity_building__of__local_implmt_partners" localSheetId="11">'Design &amp; Evaluate'!#REF!</definedName>
    <definedName name="Capacity_building__of__local_leaders" localSheetId="11">'Design &amp; Evaluate'!#REF!</definedName>
    <definedName name="Capacity_building__of__national_gov" localSheetId="11">'Design &amp; Evaluate'!#REF!</definedName>
    <definedName name="Capacity_building__of__other" localSheetId="11">'Design &amp; Evaluate'!#REF!</definedName>
    <definedName name="Capacity_building__of__private_sector_orgs" localSheetId="11">'Design &amp; Evaluate'!#REF!</definedName>
    <definedName name="Capacity_building__of__trade_unions" localSheetId="11">'Design &amp; Evaluate'!#REF!</definedName>
    <definedName name="case1" localSheetId="11">#REF!</definedName>
    <definedName name="case2" localSheetId="11">#REF!</definedName>
    <definedName name="CasesXModels_MaxModels">Internal!$B$39</definedName>
    <definedName name="columnSelections">'Select Data'!$C$7:$I$7</definedName>
    <definedName name="conAndDivSearchStartValue">Internal!$B$43</definedName>
    <definedName name="configurations">[1]Sheet1!$I$27</definedName>
    <definedName name="Consistency">'Design &amp; Evaluate'!$I$26</definedName>
    <definedName name="consistencyAndCoverage">'Select Data'!$B$6</definedName>
    <definedName name="consistencyAndCoverageFormula">Internal!$B$41</definedName>
    <definedName name="Coverage">'Design &amp; Evaluate'!$I$25</definedName>
    <definedName name="coverageName">Internal!$B$42</definedName>
    <definedName name="data_consistency">'Consistency and Coverage'!$D$3</definedName>
    <definedName name="data_diversity">'Consistency and Coverage'!$E$3</definedName>
    <definedName name="DataLabelColumnHeader">Internal!$B$15</definedName>
    <definedName name="DataOutcomeColumnHeader">Internal!$B$16</definedName>
    <definedName name="DataStrings">Workings!$K$6:$K$31</definedName>
    <definedName name="DefaultInputColumnType">Internal!$B$11</definedName>
    <definedName name="DefaultTypeForFirstInputColumn">Internal!$B$12</definedName>
    <definedName name="DefaultTypeForLastInputColumn">Internal!$B$13</definedName>
    <definedName name="Design___Evaluate___I_13" localSheetId="12">'Design &amp; Evaluate'!#REF!</definedName>
    <definedName name="Design___Evaluate___I_13" localSheetId="9">'Design &amp; Evaluate'!#REF!</definedName>
    <definedName name="Design___Evaluate___I_13" localSheetId="11">'Design &amp; Evaluate'!#REF!</definedName>
    <definedName name="Design___Evaluate___I_13">'Design &amp; Evaluate'!#REF!</definedName>
    <definedName name="Diversity_Possible">'Design &amp; Evaluate'!$I$36</definedName>
    <definedName name="Diversity_Present">'Design &amp; Evaluate'!$I$35</definedName>
    <definedName name="ExhaustiveWarnLimit">Internal!$B$37</definedName>
    <definedName name="F_Score">'Design &amp; Evaluate'!$I$21</definedName>
    <definedName name="False_Negative">'Design &amp; Evaluate'!$H$10</definedName>
    <definedName name="False_Positive">'Design &amp; Evaluate'!$I$9</definedName>
    <definedName name="FalseNegative" localSheetId="12">Workings!#REF!</definedName>
    <definedName name="FalseNegative" localSheetId="9">Workings!#REF!</definedName>
    <definedName name="FalseNegative" localSheetId="11">Workings!#REF!</definedName>
    <definedName name="FalseNegative">Workings!#REF!</definedName>
    <definedName name="FalsePositive" localSheetId="12">Workings!#REF!</definedName>
    <definedName name="FalsePositive" localSheetId="9">Workings!#REF!</definedName>
    <definedName name="FalsePositive" localSheetId="11">Workings!#REF!</definedName>
    <definedName name="FalsePositive">Workings!#REF!</definedName>
    <definedName name="FN">Workings!$H$3</definedName>
    <definedName name="FP">Workings!$I$2</definedName>
    <definedName name="Gini_Index">'Design &amp; Evaluate'!$I$23</definedName>
    <definedName name="groupAverages" localSheetId="12" hidden="1">#REF!</definedName>
    <definedName name="groupAverages" localSheetId="9" hidden="1">#REF!</definedName>
    <definedName name="groupAverages" localSheetId="11" hidden="1">#REF!</definedName>
    <definedName name="groupAverages" hidden="1">#REF!</definedName>
    <definedName name="groupConsistency">'Consistency and Coverage'!$N$10:$N$35</definedName>
    <definedName name="groupsize">'Consistency and Coverage'!$M$10:$M$35</definedName>
    <definedName name="help_current_model" localSheetId="12">'Reference'!#REF!</definedName>
    <definedName name="help_current_model" localSheetId="9">'Reference'!#REF!</definedName>
    <definedName name="help_current_model" localSheetId="11">'Reference'!#REF!</definedName>
    <definedName name="help_current_model">'Reference'!#REF!</definedName>
    <definedName name="IDLabel">Internal!$B$6</definedName>
    <definedName name="IgnoreLabel">Internal!$B$5</definedName>
    <definedName name="InputColCountsValid" localSheetId="15">Internal!$D$4:$D$7</definedName>
    <definedName name="InputColumnTypeErrors">Internal!$B$9</definedName>
    <definedName name="InputColumnTypes">Internal!$B$4:$B$7</definedName>
    <definedName name="InputMetaRow" localSheetId="12">'Select Data'!#REF!</definedName>
    <definedName name="InputMetaRow" localSheetId="9">'Select Data'!#REF!</definedName>
    <definedName name="InputMetaRow">'Select Data'!#REF!</definedName>
    <definedName name="istp">Workings!$M$6:$M$31</definedName>
    <definedName name="LabelColCountError" localSheetId="15">Internal!$E$6</definedName>
    <definedName name="Lift">'Design &amp; Evaluate'!$I$28</definedName>
    <definedName name="Likelihood_Ratio">'Design &amp; Evaluate'!$I$30</definedName>
    <definedName name="Likelihood_Ratio_Negative" localSheetId="12">'Design &amp; Evaluate'!#REF!</definedName>
    <definedName name="Likelihood_Ratio_Negative" localSheetId="9">'Design &amp; Evaluate'!#REF!</definedName>
    <definedName name="Likelihood_Ratio_Negative">'Design &amp; Evaluate'!#REF!</definedName>
    <definedName name="MatchColumn">Workings!$H$6:$H$31</definedName>
    <definedName name="maxModels">Internal!$B$39</definedName>
    <definedName name="MCC">'Design &amp; Evaluate'!$I$22</definedName>
    <definedName name="MeasureName">Internal!$B$52</definedName>
    <definedName name="Missing_Data">'Design &amp; Evaluate'!$I$38</definedName>
    <definedName name="modalCases" hidden="1">Similarity!$AE$4:$AE$29</definedName>
    <definedName name="modelConfCount" localSheetId="12">Workings!#REF!</definedName>
    <definedName name="modelConfCount" localSheetId="9">Workings!#REF!</definedName>
    <definedName name="modelConfCount" localSheetId="11">Workings!#REF!</definedName>
    <definedName name="modelConfCount">Workings!#REF!</definedName>
    <definedName name="modelConfig" localSheetId="12">'Design &amp; Evaluate'!#REF!</definedName>
    <definedName name="modelConfig" localSheetId="9">'Design &amp; Evaluate'!#REF!</definedName>
    <definedName name="modelConfig" localSheetId="11">'Design &amp; Evaluate'!#REF!</definedName>
    <definedName name="modelConfig">'Design &amp; Evaluate'!#REF!</definedName>
    <definedName name="ModelConfigOptions">Internal!$B$18:$B$20</definedName>
    <definedName name="ModelConfiguration">'Design &amp; Evaluate'!$C$12:$C$12</definedName>
    <definedName name="ModelDefaultConfiguration" localSheetId="15">Internal!$B$22</definedName>
    <definedName name="ModelName">'Design &amp; Evaluate'!$B$4</definedName>
    <definedName name="ModelNameAlreadySaved" localSheetId="12">Internal!#REF!</definedName>
    <definedName name="ModelNameAlreadySaved" localSheetId="9">Internal!#REF!</definedName>
    <definedName name="ModelNameAlreadySaved" localSheetId="11">Internal!#REF!</definedName>
    <definedName name="modelNameAlreadySaved" localSheetId="17">Internal!#REF!</definedName>
    <definedName name="ModelNameAlreadySaved">Internal!#REF!</definedName>
    <definedName name="ModelNAValue">Internal!$B$23</definedName>
    <definedName name="n_a" localSheetId="12">'Design &amp; Evaluate'!#REF!</definedName>
    <definedName name="n_a" localSheetId="9">'Design &amp; Evaluate'!#REF!</definedName>
    <definedName name="n_a" localSheetId="11">'Design &amp; Evaluate'!#REF!</definedName>
    <definedName name="n_a">'Design &amp; Evaluate'!#REF!</definedName>
    <definedName name="Necessity">'Design &amp; Evaluate'!$G$15</definedName>
    <definedName name="Negative_Predictive_Value" localSheetId="12">'Design &amp; Evaluate'!#REF!</definedName>
    <definedName name="Negative_Predictive_Value" localSheetId="9">'Design &amp; Evaluate'!#REF!</definedName>
    <definedName name="Negative_Predictive_Value">'Design &amp; Evaluate'!#REF!</definedName>
    <definedName name="Null_Error_Rate">'Design &amp; Evaluate'!$I$29</definedName>
    <definedName name="other">#REF!</definedName>
    <definedName name="outcome">'Consistency and Coverage'!$J$10:$J$35</definedName>
    <definedName name="OutcomeColCountError" localSheetId="15">Internal!$E$7</definedName>
    <definedName name="outcomeConfigCount">'Consistency and Coverage'!$C$3</definedName>
    <definedName name="OutcomeLabel">Internal!$B$7</definedName>
    <definedName name="OutcomeName">'Design &amp; Evaluate'!$B$9</definedName>
    <definedName name="outcomeString">'Consistency and Coverage'!$L$10:$L$35</definedName>
    <definedName name="outs">#REF!</definedName>
    <definedName name="PasteInstructions">'Input Data'!$C$4</definedName>
    <definedName name="PerformanceMeasureHeaders" localSheetId="11">'Design &amp; Evaluate'!$G$19:$H$19,'Design &amp; Evaluate'!$G$20:$H$20,'Design &amp; Evaluate'!#REF!,'Design &amp; Evaluate'!$G$37:$H$37,'Design &amp; Evaluate'!#REF!,'Design &amp; Evaluate'!$G$35:$H$35,'Design &amp; Evaluate'!$G$36:$H$36,'Design &amp; Evaluate'!$G$25:$H$25,'Design &amp; Evaluate'!#REF!,'Design &amp; Evaluate'!$G$26:$H$26,'Design &amp; Evaluate'!#REF!,'Design &amp; Evaluate'!$G$28:$H$28,'Design &amp; Evaluate'!$G$29:$H$29,'Design &amp; Evaluate'!$G$30:$H$30,'Design &amp; Evaluate'!#REF!,'Design &amp; Evaluate'!#REF!</definedName>
    <definedName name="PresentOrAbsent">Internal!$B$34:$B$35</definedName>
    <definedName name="Prevalence">'Design &amp; Evaluate'!$I$37</definedName>
    <definedName name="RandFactor">Internal!$B$45</definedName>
    <definedName name="SavedModelType_DT">Internal!$B$28</definedName>
    <definedName name="SavedModelType_Ex1" localSheetId="15">Internal!$B$26</definedName>
    <definedName name="SavedModelType_Ex2" localSheetId="15">Internal!$B$27</definedName>
    <definedName name="SavedModelType_nands">Internal!$B$29</definedName>
    <definedName name="SavedModelType_nnots">Internal!$B$30</definedName>
    <definedName name="SavedModelType_notsnotn">Internal!$B$32</definedName>
    <definedName name="SavedModelType_snotn">Internal!$B$31</definedName>
    <definedName name="SavedModelType_User" localSheetId="15">Internal!$B$25</definedName>
    <definedName name="SearchOptions">Internal!$B$18:$B$20</definedName>
    <definedName name="selected">'View Cases'!$A$4</definedName>
    <definedName name="SelectedModel" localSheetId="11">'Shared Coverage'!$C$4</definedName>
    <definedName name="SelectedModel">'View Models'!$C$4</definedName>
    <definedName name="SelectedSavedModelRowNumber" localSheetId="15">Internal!$B$25</definedName>
    <definedName name="Simplicity">'Design &amp; Evaluate'!#REF!</definedName>
    <definedName name="solver_adj" localSheetId="5" hidden="1">'Design &amp; Evaluate'!$O$12:$O$21</definedName>
    <definedName name="solver_adj" localSheetId="3" hidden="1">'Select Data'!$D$6:$H$6</definedName>
    <definedName name="solver_cvg" localSheetId="4" hidden="1">0.0001</definedName>
    <definedName name="solver_cvg" localSheetId="5" hidden="1">0.0001</definedName>
    <definedName name="solver_cvg" localSheetId="3" hidden="1">0.0001</definedName>
    <definedName name="solver_drv" localSheetId="4" hidden="1">2</definedName>
    <definedName name="solver_drv" localSheetId="5" hidden="1">2</definedName>
    <definedName name="solver_drv" localSheetId="3" hidden="1">2</definedName>
    <definedName name="solver_eng" localSheetId="12" hidden="1">1</definedName>
    <definedName name="solver_eng" localSheetId="4" hidden="1">3</definedName>
    <definedName name="solver_eng" localSheetId="9" hidden="1">1</definedName>
    <definedName name="solver_eng" localSheetId="5" hidden="1">3</definedName>
    <definedName name="solver_eng" localSheetId="0" hidden="1">1</definedName>
    <definedName name="solver_eng" localSheetId="21" hidden="1">1</definedName>
    <definedName name="solver_eng" localSheetId="16" hidden="1">1</definedName>
    <definedName name="solver_eng" localSheetId="2" hidden="1">1</definedName>
    <definedName name="solver_eng" localSheetId="15" hidden="1">1</definedName>
    <definedName name="solver_eng" localSheetId="18" hidden="1">1</definedName>
    <definedName name="solver_eng" localSheetId="8" hidden="1">1</definedName>
    <definedName name="solver_eng" localSheetId="3" hidden="1">3</definedName>
    <definedName name="solver_eng" localSheetId="11" hidden="1">1</definedName>
    <definedName name="solver_eng" localSheetId="19" hidden="1">1</definedName>
    <definedName name="solver_eng" localSheetId="13" hidden="1">1</definedName>
    <definedName name="solver_eng" localSheetId="10" hidden="1">1</definedName>
    <definedName name="solver_eng" localSheetId="6" hidden="1">1</definedName>
    <definedName name="solver_eng" localSheetId="17" hidden="1">1</definedName>
    <definedName name="solver_est" localSheetId="4" hidden="1">1</definedName>
    <definedName name="solver_est" localSheetId="5" hidden="1">1</definedName>
    <definedName name="solver_est" localSheetId="3" hidden="1">1</definedName>
    <definedName name="solver_itr" localSheetId="4" hidden="1">2147483647</definedName>
    <definedName name="solver_itr" localSheetId="5" hidden="1">2147483647</definedName>
    <definedName name="solver_itr" localSheetId="3" hidden="1">2147483647</definedName>
    <definedName name="solver_lhs1" localSheetId="4" hidden="1">'Consistency and Coverage'!$D$6</definedName>
    <definedName name="solver_lhs1" localSheetId="5" hidden="1">'Design &amp; Evaluate'!$O$12:$O$21</definedName>
    <definedName name="solver_lhs1" localSheetId="3" hidden="1">'Select Data'!$D$6</definedName>
    <definedName name="solver_lhs10" localSheetId="3" hidden="1">'Select Data'!$M$6</definedName>
    <definedName name="solver_lhs11" localSheetId="3" hidden="1">'Select Data'!$N$6</definedName>
    <definedName name="solver_lhs12" localSheetId="3" hidden="1">'Select Data'!$O$6</definedName>
    <definedName name="solver_lhs13" localSheetId="3" hidden="1">'Select Data'!$P$6</definedName>
    <definedName name="solver_lhs14" localSheetId="3" hidden="1">'Select Data'!$Q$6</definedName>
    <definedName name="solver_lhs15" localSheetId="3" hidden="1">'Select Data'!$R$6</definedName>
    <definedName name="solver_lhs16" localSheetId="3" hidden="1">'Select Data'!$S$6</definedName>
    <definedName name="solver_lhs17" localSheetId="3" hidden="1">'Select Data'!$T$6</definedName>
    <definedName name="solver_lhs18" localSheetId="3" hidden="1">'Select Data'!$U$6</definedName>
    <definedName name="solver_lhs19" localSheetId="3" hidden="1">'Select Data'!$V$6</definedName>
    <definedName name="solver_lhs2" localSheetId="4" hidden="1">'Consistency and Coverage'!$E$6</definedName>
    <definedName name="solver_lhs2" localSheetId="5" hidden="1">'Design &amp; Evaluate'!$O$12:$O$21</definedName>
    <definedName name="solver_lhs2" localSheetId="3" hidden="1">'Select Data'!$E$6</definedName>
    <definedName name="solver_lhs3" localSheetId="4" hidden="1">'Consistency and Coverage'!$F$6</definedName>
    <definedName name="solver_lhs3" localSheetId="5" hidden="1">'Design &amp; Evaluate'!$O$12:$O$21</definedName>
    <definedName name="solver_lhs3" localSheetId="3" hidden="1">'Select Data'!$F$6</definedName>
    <definedName name="solver_lhs4" localSheetId="4" hidden="1">'Consistency and Coverage'!$G$6</definedName>
    <definedName name="solver_lhs4" localSheetId="5" hidden="1">'Design &amp; Evaluate'!$H$10</definedName>
    <definedName name="solver_lhs4" localSheetId="3" hidden="1">'Select Data'!$G$6</definedName>
    <definedName name="solver_lhs5" localSheetId="4" hidden="1">'Consistency and Coverage'!$H$6</definedName>
    <definedName name="solver_lhs5" localSheetId="5" hidden="1">'Design &amp; Evaluate'!$I$9</definedName>
    <definedName name="solver_lhs5" localSheetId="3" hidden="1">'Select Data'!$H$6</definedName>
    <definedName name="solver_lhs6" localSheetId="5" hidden="1">'Design &amp; Evaluate'!$C$12</definedName>
    <definedName name="solver_lhs6" localSheetId="3" hidden="1">'Select Data'!$J$6</definedName>
    <definedName name="solver_lhs7" localSheetId="3" hidden="1">'Select Data'!$J$6</definedName>
    <definedName name="solver_lhs8" localSheetId="3" hidden="1">'Select Data'!$K$6</definedName>
    <definedName name="solver_lhs9" localSheetId="3" hidden="1">'Select Data'!$L$6</definedName>
    <definedName name="solver_lin" localSheetId="9" hidden="1">2</definedName>
    <definedName name="solver_lin" localSheetId="0" hidden="1">2</definedName>
    <definedName name="solver_lin" localSheetId="3" hidden="1">2</definedName>
    <definedName name="solver_mip" localSheetId="4" hidden="1">2147483647</definedName>
    <definedName name="solver_mip" localSheetId="5" hidden="1">2147483647</definedName>
    <definedName name="solver_mip" localSheetId="3" hidden="1">2147483647</definedName>
    <definedName name="solver_mni" localSheetId="4" hidden="1">30</definedName>
    <definedName name="solver_mni" localSheetId="5" hidden="1">60</definedName>
    <definedName name="solver_mni" localSheetId="3" hidden="1">30</definedName>
    <definedName name="solver_mrt" localSheetId="4" hidden="1">0.075</definedName>
    <definedName name="solver_mrt" localSheetId="5" hidden="1">0.075</definedName>
    <definedName name="solver_mrt" localSheetId="3" hidden="1">0.075</definedName>
    <definedName name="solver_msl" localSheetId="4" hidden="1">2</definedName>
    <definedName name="solver_msl" localSheetId="5" hidden="1">2</definedName>
    <definedName name="solver_msl" localSheetId="3" hidden="1">2</definedName>
    <definedName name="solver_neg" localSheetId="12" hidden="1">1</definedName>
    <definedName name="solver_neg" localSheetId="4" hidden="1">1</definedName>
    <definedName name="solver_neg" localSheetId="9" hidden="1">1</definedName>
    <definedName name="solver_neg" localSheetId="5" hidden="1">1</definedName>
    <definedName name="solver_neg" localSheetId="0" hidden="1">1</definedName>
    <definedName name="solver_neg" localSheetId="21" hidden="1">1</definedName>
    <definedName name="solver_neg" localSheetId="16" hidden="1">1</definedName>
    <definedName name="solver_neg" localSheetId="2" hidden="1">1</definedName>
    <definedName name="solver_neg" localSheetId="15" hidden="1">1</definedName>
    <definedName name="solver_neg" localSheetId="18" hidden="1">1</definedName>
    <definedName name="solver_neg" localSheetId="8" hidden="1">1</definedName>
    <definedName name="solver_neg" localSheetId="3" hidden="1">1</definedName>
    <definedName name="solver_neg" localSheetId="11" hidden="1">1</definedName>
    <definedName name="solver_neg" localSheetId="19" hidden="1">1</definedName>
    <definedName name="solver_neg" localSheetId="13" hidden="1">1</definedName>
    <definedName name="solver_neg" localSheetId="10" hidden="1">1</definedName>
    <definedName name="solver_neg" localSheetId="6" hidden="1">1</definedName>
    <definedName name="solver_neg" localSheetId="17" hidden="1">1</definedName>
    <definedName name="solver_nod" localSheetId="4" hidden="1">2147483647</definedName>
    <definedName name="solver_nod" localSheetId="5" hidden="1">2147483647</definedName>
    <definedName name="solver_nod" localSheetId="3" hidden="1">2147483647</definedName>
    <definedName name="solver_num" localSheetId="12" hidden="1">0</definedName>
    <definedName name="solver_num" localSheetId="4" hidden="1">0</definedName>
    <definedName name="solver_num" localSheetId="9" hidden="1">0</definedName>
    <definedName name="solver_num" localSheetId="5" hidden="1">3</definedName>
    <definedName name="solver_num" localSheetId="0" hidden="1">0</definedName>
    <definedName name="solver_num" localSheetId="21" hidden="1">0</definedName>
    <definedName name="solver_num" localSheetId="16" hidden="1">0</definedName>
    <definedName name="solver_num" localSheetId="2" hidden="1">0</definedName>
    <definedName name="solver_num" localSheetId="15" hidden="1">0</definedName>
    <definedName name="solver_num" localSheetId="18" hidden="1">0</definedName>
    <definedName name="solver_num" localSheetId="8" hidden="1">0</definedName>
    <definedName name="solver_num" localSheetId="3" hidden="1">5</definedName>
    <definedName name="solver_num" localSheetId="11" hidden="1">0</definedName>
    <definedName name="solver_num" localSheetId="19" hidden="1">0</definedName>
    <definedName name="solver_num" localSheetId="13" hidden="1">0</definedName>
    <definedName name="solver_num" localSheetId="10" hidden="1">0</definedName>
    <definedName name="solver_num" localSheetId="6" hidden="1">0</definedName>
    <definedName name="solver_num" localSheetId="17" hidden="1">0</definedName>
    <definedName name="solver_nwt" localSheetId="4" hidden="1">1</definedName>
    <definedName name="solver_nwt" localSheetId="5" hidden="1">1</definedName>
    <definedName name="solver_nwt" localSheetId="3" hidden="1">1</definedName>
    <definedName name="solver_opt" localSheetId="5" hidden="1">'Design &amp; Evaluate'!$I$19</definedName>
    <definedName name="solver_opt" localSheetId="0" hidden="1">'Get Started'!$K$7</definedName>
    <definedName name="solver_opt" localSheetId="8" hidden="1">'Search Results'!#REF!</definedName>
    <definedName name="solver_opt" localSheetId="3" hidden="1">'Select Data'!$B$6</definedName>
    <definedName name="solver_pre" localSheetId="4" hidden="1">0.000001</definedName>
    <definedName name="solver_pre" localSheetId="5" hidden="1">0.000001</definedName>
    <definedName name="solver_pre" localSheetId="3" hidden="1">0.000001</definedName>
    <definedName name="solver_rbv" localSheetId="4" hidden="1">2</definedName>
    <definedName name="solver_rbv" localSheetId="5" hidden="1">2</definedName>
    <definedName name="solver_rbv" localSheetId="3" hidden="1">2</definedName>
    <definedName name="solver_rel1" localSheetId="4" hidden="1">5</definedName>
    <definedName name="solver_rel1" localSheetId="5" hidden="1">3</definedName>
    <definedName name="solver_rel1" localSheetId="3" hidden="1">5</definedName>
    <definedName name="solver_rel10" localSheetId="3" hidden="1">5</definedName>
    <definedName name="solver_rel11" localSheetId="3" hidden="1">5</definedName>
    <definedName name="solver_rel12" localSheetId="3" hidden="1">5</definedName>
    <definedName name="solver_rel13" localSheetId="3" hidden="1">5</definedName>
    <definedName name="solver_rel14" localSheetId="3" hidden="1">5</definedName>
    <definedName name="solver_rel15" localSheetId="3" hidden="1">5</definedName>
    <definedName name="solver_rel16" localSheetId="3" hidden="1">5</definedName>
    <definedName name="solver_rel17" localSheetId="3" hidden="1">5</definedName>
    <definedName name="solver_rel18" localSheetId="3" hidden="1">5</definedName>
    <definedName name="solver_rel19" localSheetId="3" hidden="1">5</definedName>
    <definedName name="solver_rel2" localSheetId="4" hidden="1">5</definedName>
    <definedName name="solver_rel2" localSheetId="5" hidden="1">1</definedName>
    <definedName name="solver_rel2" localSheetId="3" hidden="1">5</definedName>
    <definedName name="solver_rel3" localSheetId="4" hidden="1">5</definedName>
    <definedName name="solver_rel3" localSheetId="5" hidden="1">4</definedName>
    <definedName name="solver_rel3" localSheetId="3" hidden="1">5</definedName>
    <definedName name="solver_rel4" localSheetId="4" hidden="1">5</definedName>
    <definedName name="solver_rel4" localSheetId="5" hidden="1">2</definedName>
    <definedName name="solver_rel4" localSheetId="3" hidden="1">5</definedName>
    <definedName name="solver_rel5" localSheetId="4" hidden="1">5</definedName>
    <definedName name="solver_rel5" localSheetId="5" hidden="1">2</definedName>
    <definedName name="solver_rel5" localSheetId="3" hidden="1">5</definedName>
    <definedName name="solver_rel6" localSheetId="5" hidden="1">2</definedName>
    <definedName name="solver_rel6" localSheetId="3" hidden="1">3</definedName>
    <definedName name="solver_rel7" localSheetId="3" hidden="1">5</definedName>
    <definedName name="solver_rel8" localSheetId="3" hidden="1">5</definedName>
    <definedName name="solver_rel9" localSheetId="3" hidden="1">5</definedName>
    <definedName name="solver_rhs1" localSheetId="4" hidden="1">binary</definedName>
    <definedName name="solver_rhs1" localSheetId="5" hidden="1">-1</definedName>
    <definedName name="solver_rhs1" localSheetId="3" hidden="1">binary</definedName>
    <definedName name="solver_rhs10" localSheetId="3" hidden="1">binary</definedName>
    <definedName name="solver_rhs11" localSheetId="3" hidden="1">binary</definedName>
    <definedName name="solver_rhs12" localSheetId="3" hidden="1">binary</definedName>
    <definedName name="solver_rhs13" localSheetId="3" hidden="1">binary</definedName>
    <definedName name="solver_rhs14" localSheetId="3" hidden="1">binary</definedName>
    <definedName name="solver_rhs15" localSheetId="3" hidden="1">binary</definedName>
    <definedName name="solver_rhs16" localSheetId="3" hidden="1">binary</definedName>
    <definedName name="solver_rhs17" localSheetId="3" hidden="1">binary</definedName>
    <definedName name="solver_rhs18" localSheetId="3" hidden="1">binary</definedName>
    <definedName name="solver_rhs19" localSheetId="3" hidden="1">binary</definedName>
    <definedName name="solver_rhs2" localSheetId="4" hidden="1">binary</definedName>
    <definedName name="solver_rhs2" localSheetId="5" hidden="1">1</definedName>
    <definedName name="solver_rhs2" localSheetId="3" hidden="1">binary</definedName>
    <definedName name="solver_rhs3" localSheetId="4" hidden="1">binary</definedName>
    <definedName name="solver_rhs3" localSheetId="5" hidden="1">integer</definedName>
    <definedName name="solver_rhs3" localSheetId="3" hidden="1">binary</definedName>
    <definedName name="solver_rhs4" localSheetId="4" hidden="1">binary</definedName>
    <definedName name="solver_rhs4" localSheetId="5" hidden="1">0</definedName>
    <definedName name="solver_rhs4" localSheetId="3" hidden="1">binary</definedName>
    <definedName name="solver_rhs5" localSheetId="4" hidden="1">binary</definedName>
    <definedName name="solver_rhs5" localSheetId="5" hidden="1">0</definedName>
    <definedName name="solver_rhs5" localSheetId="3" hidden="1">binary</definedName>
    <definedName name="solver_rhs6" localSheetId="5" hidden="1">0</definedName>
    <definedName name="solver_rhs6" localSheetId="3" hidden="1">1</definedName>
    <definedName name="solver_rhs7" localSheetId="3" hidden="1">binary</definedName>
    <definedName name="solver_rhs8" localSheetId="3" hidden="1">binary</definedName>
    <definedName name="solver_rhs9" localSheetId="3" hidden="1">binary</definedName>
    <definedName name="solver_rlx" localSheetId="4" hidden="1">2</definedName>
    <definedName name="solver_rlx" localSheetId="5" hidden="1">2</definedName>
    <definedName name="solver_rlx" localSheetId="3" hidden="1">2</definedName>
    <definedName name="solver_rsd" localSheetId="4" hidden="1">0</definedName>
    <definedName name="solver_rsd" localSheetId="5" hidden="1">0</definedName>
    <definedName name="solver_rsd" localSheetId="3" hidden="1">0</definedName>
    <definedName name="solver_scl" localSheetId="4" hidden="1">2</definedName>
    <definedName name="solver_scl" localSheetId="5" hidden="1">2</definedName>
    <definedName name="solver_scl" localSheetId="3" hidden="1">2</definedName>
    <definedName name="solver_sho" localSheetId="4" hidden="1">2</definedName>
    <definedName name="solver_sho" localSheetId="5" hidden="1">2</definedName>
    <definedName name="solver_sho" localSheetId="3" hidden="1">2</definedName>
    <definedName name="solver_ssz" localSheetId="4" hidden="1">100</definedName>
    <definedName name="solver_ssz" localSheetId="5" hidden="1">500</definedName>
    <definedName name="solver_ssz" localSheetId="3" hidden="1">100</definedName>
    <definedName name="solver_tim" localSheetId="4" hidden="1">2147483647</definedName>
    <definedName name="solver_tim" localSheetId="5" hidden="1">2147483647</definedName>
    <definedName name="solver_tim" localSheetId="3" hidden="1">2147483647</definedName>
    <definedName name="solver_tol" localSheetId="4" hidden="1">0.01</definedName>
    <definedName name="solver_tol" localSheetId="5" hidden="1">0.01</definedName>
    <definedName name="solver_tol" localSheetId="3" hidden="1">0.01</definedName>
    <definedName name="solver_typ" localSheetId="12" hidden="1">1</definedName>
    <definedName name="solver_typ" localSheetId="4" hidden="1">1</definedName>
    <definedName name="solver_typ" localSheetId="9" hidden="1">1</definedName>
    <definedName name="solver_typ" localSheetId="5" hidden="1">1</definedName>
    <definedName name="solver_typ" localSheetId="0" hidden="1">1</definedName>
    <definedName name="solver_typ" localSheetId="21" hidden="1">1</definedName>
    <definedName name="solver_typ" localSheetId="16" hidden="1">1</definedName>
    <definedName name="solver_typ" localSheetId="2" hidden="1">1</definedName>
    <definedName name="solver_typ" localSheetId="15" hidden="1">1</definedName>
    <definedName name="solver_typ" localSheetId="18" hidden="1">1</definedName>
    <definedName name="solver_typ" localSheetId="8" hidden="1">1</definedName>
    <definedName name="solver_typ" localSheetId="3" hidden="1">1</definedName>
    <definedName name="solver_typ" localSheetId="11" hidden="1">1</definedName>
    <definedName name="solver_typ" localSheetId="19" hidden="1">1</definedName>
    <definedName name="solver_typ" localSheetId="13" hidden="1">1</definedName>
    <definedName name="solver_typ" localSheetId="10" hidden="1">1</definedName>
    <definedName name="solver_typ" localSheetId="6" hidden="1">1</definedName>
    <definedName name="solver_typ" localSheetId="17" hidden="1">1</definedName>
    <definedName name="solver_val" localSheetId="12" hidden="1">0</definedName>
    <definedName name="solver_val" localSheetId="4" hidden="1">0</definedName>
    <definedName name="solver_val" localSheetId="9" hidden="1">0</definedName>
    <definedName name="solver_val" localSheetId="5" hidden="1">0</definedName>
    <definedName name="solver_val" localSheetId="0" hidden="1">0</definedName>
    <definedName name="solver_val" localSheetId="21" hidden="1">0</definedName>
    <definedName name="solver_val" localSheetId="16" hidden="1">0</definedName>
    <definedName name="solver_val" localSheetId="2" hidden="1">0</definedName>
    <definedName name="solver_val" localSheetId="15" hidden="1">0</definedName>
    <definedName name="solver_val" localSheetId="18" hidden="1">0</definedName>
    <definedName name="solver_val" localSheetId="8" hidden="1">0</definedName>
    <definedName name="solver_val" localSheetId="3" hidden="1">0</definedName>
    <definedName name="solver_val" localSheetId="11" hidden="1">0</definedName>
    <definedName name="solver_val" localSheetId="19" hidden="1">0</definedName>
    <definedName name="solver_val" localSheetId="13" hidden="1">0</definedName>
    <definedName name="solver_val" localSheetId="10" hidden="1">0</definedName>
    <definedName name="solver_val" localSheetId="6" hidden="1">0</definedName>
    <definedName name="solver_val" localSheetId="17" hidden="1">0</definedName>
    <definedName name="solver_ver" localSheetId="12" hidden="1">3</definedName>
    <definedName name="solver_ver" localSheetId="4" hidden="1">3</definedName>
    <definedName name="solver_ver" localSheetId="9" hidden="1">3</definedName>
    <definedName name="solver_ver" localSheetId="5" hidden="1">3</definedName>
    <definedName name="solver_ver" localSheetId="0" hidden="1">2</definedName>
    <definedName name="solver_ver" localSheetId="21" hidden="1">3</definedName>
    <definedName name="solver_ver" localSheetId="16" hidden="1">3</definedName>
    <definedName name="solver_ver" localSheetId="2" hidden="1">3</definedName>
    <definedName name="solver_ver" localSheetId="15" hidden="1">3</definedName>
    <definedName name="solver_ver" localSheetId="18" hidden="1">3</definedName>
    <definedName name="solver_ver" localSheetId="8" hidden="1">3</definedName>
    <definedName name="solver_ver" localSheetId="3" hidden="1">3</definedName>
    <definedName name="solver_ver" localSheetId="11" hidden="1">3</definedName>
    <definedName name="solver_ver" localSheetId="19" hidden="1">3</definedName>
    <definedName name="solver_ver" localSheetId="13" hidden="1">3</definedName>
    <definedName name="solver_ver" localSheetId="10" hidden="1">3</definedName>
    <definedName name="solver_ver" localSheetId="6" hidden="1">3</definedName>
    <definedName name="solver_ver" localSheetId="17" hidden="1">3</definedName>
    <definedName name="StatusHead">model[[#Headers],[Status]]</definedName>
    <definedName name="Sufficiency">'Design &amp; Evaluate'!$H$15</definedName>
    <definedName name="Support">'Design &amp; Evaluate'!#REF!</definedName>
    <definedName name="TargetOutcome">'Design &amp; Evaluate'!$C$9</definedName>
    <definedName name="TempStatusColumn" localSheetId="12">'Compare Models'!$AQB$6</definedName>
    <definedName name="TempStatusColumn" localSheetId="9">'Decision Tree'!$AMP$6</definedName>
    <definedName name="TempStatusColumn">'View Cases'!$DCJ$6</definedName>
    <definedName name="test">#REF!</definedName>
    <definedName name="testname42" localSheetId="12">'Reference'!#REF!</definedName>
    <definedName name="testname42" localSheetId="9">'Reference'!#REF!</definedName>
    <definedName name="testname42" localSheetId="11">'Reference'!#REF!</definedName>
    <definedName name="testname42">'Reference'!#REF!</definedName>
    <definedName name="tfpn">Workings!$L$6:$L$31</definedName>
    <definedName name="tfpnCol" hidden="1">Similarity!$A$4:$A$29</definedName>
    <definedName name="tfpnRow" hidden="1">Similarity!$C$2:$AB$2</definedName>
    <definedName name="TN">Workings!$I$3</definedName>
    <definedName name="TotalCases">'Design &amp; Evaluate'!$G$7</definedName>
    <definedName name="TotalNumberOfCases">'[1]Data set &amp; workings'!$AO$2</definedName>
    <definedName name="TP">Workings!$H$2</definedName>
    <definedName name="TreeHead">Internal!$B$60</definedName>
    <definedName name="True_Negative">'Design &amp; Evaluate'!$I$10</definedName>
    <definedName name="True_Negative_Rate" localSheetId="12">'Design &amp; Evaluate'!#REF!</definedName>
    <definedName name="True_Negative_Rate" localSheetId="9">'Design &amp; Evaluate'!#REF!</definedName>
    <definedName name="True_Negative_Rate">'Design &amp; Evaluate'!#REF!</definedName>
    <definedName name="True_Positive">'Design &amp; Evaluate'!$H$9</definedName>
    <definedName name="TrueNegative" localSheetId="12">Workings!#REF!</definedName>
    <definedName name="TrueNegative" localSheetId="9">Workings!#REF!</definedName>
    <definedName name="TrueNegative" localSheetId="11">Workings!#REF!</definedName>
    <definedName name="TrueNegative">Workings!#REF!</definedName>
    <definedName name="TruePositive" localSheetId="12">Workings!#REF!</definedName>
    <definedName name="TruePositive" localSheetId="9">Workings!#REF!</definedName>
    <definedName name="TruePositive" localSheetId="11">Workings!#REF!</definedName>
    <definedName name="TruePositive">Workings!#REF!</definedName>
    <definedName name="UniqueCasesCount">Workings!$DU$3</definedName>
    <definedName name="User_Defined">'Design &amp; Evaluate'!$I$32</definedName>
    <definedName name="VersionId">Internal!$B$1</definedName>
    <definedName name="VersionNumber">Internal!$B$1</definedName>
    <definedName name="visibleGroupConsistency">'Consistency and Coverage'!$O$10:$O$35</definedName>
    <definedName name="xx">'Design &amp; Evaluate'!#REF!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8" i="16" l="1"/>
  <c r="D11" i="98"/>
  <c r="F13" i="98"/>
  <c r="H11" i="98"/>
  <c r="J10" i="98" a="1"/>
  <c r="J10" i="98" s="1"/>
  <c r="C10" i="98"/>
  <c r="D10" i="98"/>
  <c r="E10" i="98"/>
  <c r="G10" i="98"/>
  <c r="H10" i="98"/>
  <c r="I10" i="98"/>
  <c r="C11" i="98"/>
  <c r="E11" i="98"/>
  <c r="G11" i="98"/>
  <c r="I11" i="98"/>
  <c r="C12" i="98"/>
  <c r="D12" i="98"/>
  <c r="E12" i="98"/>
  <c r="G12" i="98"/>
  <c r="H12" i="98"/>
  <c r="I12" i="98"/>
  <c r="C13" i="98"/>
  <c r="D13" i="98"/>
  <c r="E13" i="98"/>
  <c r="G13" i="98"/>
  <c r="H13" i="98"/>
  <c r="I13" i="98"/>
  <c r="C14" i="98"/>
  <c r="D14" i="98"/>
  <c r="E14" i="98"/>
  <c r="F14" i="98"/>
  <c r="G14" i="98"/>
  <c r="H14" i="98"/>
  <c r="I14" i="98"/>
  <c r="C15" i="98"/>
  <c r="D15" i="98"/>
  <c r="E15" i="98"/>
  <c r="G15" i="98"/>
  <c r="H15" i="98"/>
  <c r="I15" i="98"/>
  <c r="C16" i="98"/>
  <c r="D16" i="98"/>
  <c r="E16" i="98"/>
  <c r="G16" i="98"/>
  <c r="H16" i="98"/>
  <c r="I16" i="98"/>
  <c r="C17" i="98"/>
  <c r="D17" i="98"/>
  <c r="E17" i="98"/>
  <c r="G17" i="98"/>
  <c r="H17" i="98"/>
  <c r="I17" i="98"/>
  <c r="C18" i="98"/>
  <c r="D18" i="98"/>
  <c r="E18" i="98"/>
  <c r="F18" i="98"/>
  <c r="G18" i="98"/>
  <c r="H18" i="98"/>
  <c r="I18" i="98"/>
  <c r="C19" i="98"/>
  <c r="D19" i="98"/>
  <c r="E19" i="98"/>
  <c r="G19" i="98"/>
  <c r="H19" i="98"/>
  <c r="I19" i="98"/>
  <c r="C20" i="98"/>
  <c r="D20" i="98"/>
  <c r="E20" i="98"/>
  <c r="G20" i="98"/>
  <c r="H20" i="98"/>
  <c r="I20" i="98"/>
  <c r="C21" i="98"/>
  <c r="D21" i="98"/>
  <c r="E21" i="98"/>
  <c r="G21" i="98"/>
  <c r="H21" i="98"/>
  <c r="I21" i="98"/>
  <c r="C22" i="98"/>
  <c r="D22" i="98"/>
  <c r="E22" i="98"/>
  <c r="F22" i="98"/>
  <c r="G22" i="98"/>
  <c r="H22" i="98"/>
  <c r="I22" i="98"/>
  <c r="C23" i="98"/>
  <c r="D23" i="98"/>
  <c r="E23" i="98"/>
  <c r="G23" i="98"/>
  <c r="H23" i="98"/>
  <c r="I23" i="98"/>
  <c r="C24" i="98"/>
  <c r="D24" i="98"/>
  <c r="E24" i="98"/>
  <c r="G24" i="98"/>
  <c r="H24" i="98"/>
  <c r="I24" i="98"/>
  <c r="C25" i="98"/>
  <c r="D25" i="98"/>
  <c r="E25" i="98"/>
  <c r="G25" i="98"/>
  <c r="H25" i="98"/>
  <c r="I25" i="98"/>
  <c r="C26" i="98"/>
  <c r="D26" i="98"/>
  <c r="E26" i="98"/>
  <c r="F26" i="98"/>
  <c r="G26" i="98"/>
  <c r="H26" i="98"/>
  <c r="I26" i="98"/>
  <c r="C27" i="98"/>
  <c r="D27" i="98"/>
  <c r="E27" i="98"/>
  <c r="G27" i="98"/>
  <c r="H27" i="98"/>
  <c r="I27" i="98"/>
  <c r="C28" i="98"/>
  <c r="D28" i="98"/>
  <c r="E28" i="98"/>
  <c r="G28" i="98"/>
  <c r="H28" i="98"/>
  <c r="I28" i="98"/>
  <c r="C29" i="98"/>
  <c r="D29" i="98"/>
  <c r="E29" i="98"/>
  <c r="G29" i="98"/>
  <c r="H29" i="98"/>
  <c r="I29" i="98"/>
  <c r="C30" i="98"/>
  <c r="D30" i="98"/>
  <c r="E30" i="98"/>
  <c r="F30" i="98"/>
  <c r="G30" i="98"/>
  <c r="H30" i="98"/>
  <c r="I30" i="98"/>
  <c r="C31" i="98"/>
  <c r="D31" i="98"/>
  <c r="E31" i="98"/>
  <c r="G31" i="98"/>
  <c r="H31" i="98"/>
  <c r="I31" i="98"/>
  <c r="C32" i="98"/>
  <c r="D32" i="98"/>
  <c r="E32" i="98"/>
  <c r="G32" i="98"/>
  <c r="H32" i="98"/>
  <c r="I32" i="98"/>
  <c r="C33" i="98"/>
  <c r="D33" i="98"/>
  <c r="E33" i="98"/>
  <c r="G33" i="98"/>
  <c r="H33" i="98"/>
  <c r="I33" i="98"/>
  <c r="C34" i="98"/>
  <c r="D34" i="98"/>
  <c r="E34" i="98"/>
  <c r="F34" i="98"/>
  <c r="G34" i="98"/>
  <c r="H34" i="98"/>
  <c r="I34" i="98"/>
  <c r="C35" i="98"/>
  <c r="D35" i="98"/>
  <c r="E35" i="98"/>
  <c r="G35" i="98"/>
  <c r="H35" i="98"/>
  <c r="I35" i="98"/>
  <c r="O10" i="16"/>
  <c r="F35" i="98" l="1"/>
  <c r="F31" i="98"/>
  <c r="F27" i="98"/>
  <c r="F23" i="98"/>
  <c r="F19" i="98"/>
  <c r="F15" i="98"/>
  <c r="F11" i="98"/>
  <c r="F10" i="98"/>
  <c r="L10" i="98" s="1"/>
  <c r="F28" i="98"/>
  <c r="F24" i="98"/>
  <c r="F20" i="98"/>
  <c r="F16" i="98"/>
  <c r="F12" i="98"/>
  <c r="F32" i="98"/>
  <c r="F33" i="98"/>
  <c r="F29" i="98"/>
  <c r="K29" i="98" s="1"/>
  <c r="F25" i="98"/>
  <c r="K25" i="98" s="1"/>
  <c r="F21" i="98"/>
  <c r="F17" i="98"/>
  <c r="K33" i="98"/>
  <c r="K35" i="98"/>
  <c r="K31" i="98"/>
  <c r="K27" i="98"/>
  <c r="K23" i="98"/>
  <c r="K19" i="98"/>
  <c r="K15" i="98"/>
  <c r="K11" i="98"/>
  <c r="K32" i="98"/>
  <c r="K28" i="98"/>
  <c r="K24" i="98"/>
  <c r="K20" i="98"/>
  <c r="K16" i="98"/>
  <c r="K12" i="98"/>
  <c r="K21" i="98"/>
  <c r="K17" i="98"/>
  <c r="K13" i="98"/>
  <c r="K34" i="98"/>
  <c r="K30" i="98"/>
  <c r="K26" i="98"/>
  <c r="K22" i="98"/>
  <c r="K18" i="98"/>
  <c r="K14" i="98"/>
  <c r="K10" i="98"/>
  <c r="J34" i="98"/>
  <c r="L34" i="98" s="1"/>
  <c r="J30" i="98"/>
  <c r="L30" i="98" s="1"/>
  <c r="J26" i="98"/>
  <c r="L26" i="98" s="1"/>
  <c r="J22" i="98"/>
  <c r="L22" i="98" s="1"/>
  <c r="J18" i="98"/>
  <c r="L18" i="98" s="1"/>
  <c r="J14" i="98"/>
  <c r="L14" i="98" s="1"/>
  <c r="J33" i="98"/>
  <c r="L33" i="98" s="1"/>
  <c r="J29" i="98"/>
  <c r="J25" i="98"/>
  <c r="J21" i="98"/>
  <c r="L21" i="98" s="1"/>
  <c r="J17" i="98"/>
  <c r="L17" i="98" s="1"/>
  <c r="J13" i="98"/>
  <c r="L13" i="98" s="1"/>
  <c r="J32" i="98"/>
  <c r="L32" i="98" s="1"/>
  <c r="J28" i="98"/>
  <c r="L28" i="98" s="1"/>
  <c r="J24" i="98"/>
  <c r="L24" i="98" s="1"/>
  <c r="J20" i="98"/>
  <c r="L20" i="98" s="1"/>
  <c r="J16" i="98"/>
  <c r="J12" i="98"/>
  <c r="L12" i="98" s="1"/>
  <c r="J35" i="98"/>
  <c r="L35" i="98" s="1"/>
  <c r="J31" i="98"/>
  <c r="L31" i="98" s="1"/>
  <c r="J27" i="98"/>
  <c r="L27" i="98" s="1"/>
  <c r="J23" i="98"/>
  <c r="L23" i="98" s="1"/>
  <c r="J19" i="98"/>
  <c r="L19" i="98" s="1"/>
  <c r="J15" i="98"/>
  <c r="L15" i="98" s="1"/>
  <c r="J11" i="98"/>
  <c r="L11" i="98" s="1"/>
  <c r="B48" i="20"/>
  <c r="B50" i="20"/>
  <c r="B49" i="20"/>
  <c r="B47" i="20"/>
  <c r="I16" i="16"/>
  <c r="B9" i="20"/>
  <c r="C7" i="20"/>
  <c r="D7" i="20" s="1"/>
  <c r="C6" i="20"/>
  <c r="D6" i="20" s="1"/>
  <c r="C5" i="20"/>
  <c r="C4" i="20"/>
  <c r="D4" i="20" s="1"/>
  <c r="A3" i="66"/>
  <c r="L16" i="98" l="1"/>
  <c r="L25" i="98"/>
  <c r="L29" i="98"/>
  <c r="B3" i="98" a="1"/>
  <c r="B3" i="98" s="1"/>
  <c r="E3" i="98" s="1"/>
  <c r="B58" i="20"/>
  <c r="B59" i="20"/>
  <c r="B54" i="20"/>
  <c r="B56" i="20"/>
  <c r="B57" i="20"/>
  <c r="B53" i="20"/>
  <c r="C3" i="98" l="1" a="1"/>
  <c r="C3" i="98" s="1"/>
  <c r="D3" i="98" s="1"/>
  <c r="B60" i="20"/>
  <c r="B55" i="20"/>
  <c r="H9" i="16" l="1"/>
  <c r="I10" i="16"/>
  <c r="I9" i="16"/>
  <c r="H10" i="16" l="1"/>
  <c r="G7" i="16" s="1"/>
  <c r="I23" i="16" s="1"/>
  <c r="I26" i="16"/>
  <c r="H15" i="16"/>
  <c r="I22" i="16"/>
  <c r="I19" i="16"/>
  <c r="G15" i="16"/>
  <c r="I29" i="16"/>
  <c r="I20" i="16"/>
  <c r="I30" i="16"/>
  <c r="I28" i="16"/>
  <c r="I25" i="16"/>
  <c r="I21" i="16" l="1"/>
  <c r="H11" i="16"/>
  <c r="I11" i="16"/>
  <c r="J10" i="16"/>
  <c r="J9" i="16"/>
  <c r="J11"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aptivate</author>
  </authors>
  <commentList>
    <comment ref="B41" authorId="0" shapeId="0" xr:uid="{00000000-0006-0000-0F00-000001000000}">
      <text>
        <r>
          <rPr>
            <b/>
            <sz val="9"/>
            <color indexed="81"/>
            <rFont val="Tahoma"/>
            <family val="2"/>
          </rPr>
          <t>aptivate:</t>
        </r>
        <r>
          <rPr>
            <sz val="9"/>
            <color indexed="81"/>
            <rFont val="Tahoma"/>
            <family val="2"/>
          </rPr>
          <t xml:space="preserve">
If you edit this, you probably need to re-insert the ' at the beginning to make it a string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Aptivate\AppData\Roaming\Microsoft\Queries\Query from Excel Files.dqy" name="Query from Excel Files" type="1" refreshedVersion="0" background="1" saveData="1">
    <dbPr connection="DSN=Excel Files;DBQ=C:\Users\Aptivate\Desktop\mark\marks-connection-test.xlsx;DefaultDir=C:\Users\Aptivate\Desktop\mark;DriverId=1046;MaxBufferSize=2048;PageTimeout=5;" command="SELECT `Sheet1$`.id, `Sheet1$`.value, `Sheet1$`.flag  FROM `C:\Users\Aptivate\Desktop\mark\marks-connection-test.xlsx`.`Sheet1$` `Sheet1$`  WHERE (`Sheet1$`.flag=1.0)"/>
  </connection>
</connections>
</file>

<file path=xl/sharedStrings.xml><?xml version="1.0" encoding="utf-8"?>
<sst xmlns="http://schemas.openxmlformats.org/spreadsheetml/2006/main" count="557" uniqueCount="345">
  <si>
    <t>Accuracy</t>
  </si>
  <si>
    <t>Cases</t>
  </si>
  <si>
    <t>Present</t>
  </si>
  <si>
    <t>Absent</t>
  </si>
  <si>
    <t>Lift</t>
  </si>
  <si>
    <t>Attribute</t>
  </si>
  <si>
    <t>Outcome</t>
  </si>
  <si>
    <t>Ignore</t>
  </si>
  <si>
    <t>Input Column Types:</t>
  </si>
  <si>
    <t>Default Column Type:</t>
  </si>
  <si>
    <t>Devault Type For Last Column:</t>
  </si>
  <si>
    <t>Default Type For First Column:</t>
  </si>
  <si>
    <t>Occurrences</t>
  </si>
  <si>
    <t>Error Message</t>
  </si>
  <si>
    <t>Chose one column only as case labels</t>
  </si>
  <si>
    <t>Chose at least one column as attributes</t>
  </si>
  <si>
    <t>n/a</t>
  </si>
  <si>
    <t>Is Valid?</t>
  </si>
  <si>
    <t>Chose one column only as outcome</t>
  </si>
  <si>
    <t>Input Column Type Errors:</t>
  </si>
  <si>
    <t>How many cells in InputMetaRow have values not in InputColumnTypes?</t>
  </si>
  <si>
    <t>Needed because it is possible to overwrite validity checking in excel using copy and paste</t>
  </si>
  <si>
    <t>ID</t>
  </si>
  <si>
    <t>Null error rate</t>
  </si>
  <si>
    <t>Likelihood ratio (positive)</t>
  </si>
  <si>
    <t>Data says outcome is…</t>
  </si>
  <si>
    <t>Default Model Config Option:</t>
  </si>
  <si>
    <t>Model Config Options:</t>
  </si>
  <si>
    <t>DataOutcomeColumnHeader:</t>
  </si>
  <si>
    <t>DataLabelColumnHeader:</t>
  </si>
  <si>
    <t>User-saved model type:</t>
  </si>
  <si>
    <t>Exhaustive Search 1 model type:</t>
  </si>
  <si>
    <t>Exhaustive Search 2 model type</t>
  </si>
  <si>
    <t>Best configuration</t>
  </si>
  <si>
    <t>User generated</t>
  </si>
  <si>
    <t>Model n/a option</t>
  </si>
  <si>
    <t>objective</t>
  </si>
  <si>
    <t xml:space="preserve">
</t>
  </si>
  <si>
    <t>timestamp</t>
  </si>
  <si>
    <t>Present Or Absent</t>
  </si>
  <si>
    <t>The "Present" value must be the first one</t>
  </si>
  <si>
    <t>target outcome</t>
  </si>
  <si>
    <t>How to use Eval C3</t>
  </si>
  <si>
    <t xml:space="preserve"> </t>
  </si>
  <si>
    <t>Overall</t>
  </si>
  <si>
    <t>Specific</t>
  </si>
  <si>
    <t>Relative</t>
  </si>
  <si>
    <t xml:space="preserve">Total cases: </t>
  </si>
  <si>
    <t>my first model</t>
  </si>
  <si>
    <t>Name</t>
  </si>
  <si>
    <t>ref_input_data</t>
  </si>
  <si>
    <t>ref_select_data</t>
  </si>
  <si>
    <t>ref_design_evaluate</t>
  </si>
  <si>
    <t>ref_view_cases</t>
  </si>
  <si>
    <t>ref_view_models</t>
  </si>
  <si>
    <t>ref_model_save</t>
  </si>
  <si>
    <t>ref_model_load</t>
  </si>
  <si>
    <t>ref_model_evaluation</t>
  </si>
  <si>
    <t>ref_performance_measures</t>
  </si>
  <si>
    <t>ref_model_refine</t>
  </si>
  <si>
    <t>Status</t>
  </si>
  <si>
    <t xml:space="preserve">Version </t>
  </si>
  <si>
    <t>ref_find_models</t>
  </si>
  <si>
    <t>The current set of attributes is:</t>
  </si>
  <si>
    <t xml:space="preserve">for the outcome to be: </t>
  </si>
  <si>
    <t>cases</t>
  </si>
  <si>
    <t>ref_accuracy</t>
  </si>
  <si>
    <t>ref_misclassification_rate</t>
  </si>
  <si>
    <t>ref_true_negative_rate</t>
  </si>
  <si>
    <t>ref_positive_predictive_value</t>
  </si>
  <si>
    <t>ref_negative_predictive_value</t>
  </si>
  <si>
    <t>ref_necessity</t>
  </si>
  <si>
    <t>ref_sufficiency</t>
  </si>
  <si>
    <t>ref_lift</t>
  </si>
  <si>
    <t>ref_null_error_rate</t>
  </si>
  <si>
    <t>ref_likelihood_ratio_positive</t>
  </si>
  <si>
    <t>ref_likelihood_ratio_negative</t>
  </si>
  <si>
    <t>performance measure</t>
  </si>
  <si>
    <t>Design &amp; Evaluate</t>
  </si>
  <si>
    <t>Type</t>
  </si>
  <si>
    <t>button</t>
  </si>
  <si>
    <t>sheet</t>
  </si>
  <si>
    <t>View Cases</t>
  </si>
  <si>
    <t>View Models</t>
  </si>
  <si>
    <t>Sheet</t>
  </si>
  <si>
    <t>Input Data</t>
  </si>
  <si>
    <t>Select Data</t>
  </si>
  <si>
    <t>section</t>
  </si>
  <si>
    <t>Help</t>
  </si>
  <si>
    <t>ref_current_model</t>
  </si>
  <si>
    <t>ref_true_positive_rate</t>
  </si>
  <si>
    <t>Null_Error_Rate</t>
  </si>
  <si>
    <t>Likelihood_Ratio</t>
  </si>
  <si>
    <r>
      <rPr>
        <b/>
        <sz val="14"/>
        <color theme="4" tint="-0.499984740745262"/>
        <rFont val="Calibri"/>
        <family val="2"/>
        <scheme val="minor"/>
      </rPr>
      <t>1.</t>
    </r>
    <r>
      <rPr>
        <sz val="11"/>
        <color theme="3"/>
        <rFont val="Calibri"/>
        <family val="2"/>
        <scheme val="minor"/>
      </rPr>
      <t xml:space="preserve"> Is Solver add-in installed in Excel?</t>
    </r>
  </si>
  <si>
    <r>
      <rPr>
        <b/>
        <sz val="14"/>
        <color theme="4" tint="-0.499984740745262"/>
        <rFont val="Calibri"/>
        <family val="2"/>
        <scheme val="minor"/>
      </rPr>
      <t>2.</t>
    </r>
    <r>
      <rPr>
        <sz val="11"/>
        <color theme="3"/>
        <rFont val="Calibri"/>
        <family val="2"/>
        <scheme val="minor"/>
      </rPr>
      <t xml:space="preserve"> Are macros enabled in Excel?</t>
    </r>
  </si>
  <si>
    <r>
      <rPr>
        <b/>
        <sz val="14"/>
        <color theme="4" tint="-0.499984740745262"/>
        <rFont val="Calibri"/>
        <family val="2"/>
        <scheme val="minor"/>
      </rPr>
      <t>3.</t>
    </r>
    <r>
      <rPr>
        <sz val="11"/>
        <color theme="3"/>
        <rFont val="Calibri"/>
        <family val="2"/>
        <scheme val="minor"/>
      </rPr>
      <t xml:space="preserve"> Are calculations set to Automatic?</t>
    </r>
  </si>
  <si>
    <t>Get Started</t>
  </si>
  <si>
    <t>ref_install_solver</t>
  </si>
  <si>
    <t>ref_enable_macros</t>
  </si>
  <si>
    <t>ref_auto_calculate</t>
  </si>
  <si>
    <t>checklist</t>
  </si>
  <si>
    <t>ENABLE MACROS
Click the Microsoft Office Button , and then click Excel Options.
Click Trust Center, click Trust Center Settings, and then click Macro Settings
Click the options that you want: Disable all macros without notification Click this option if you don't trust macros.
Visit this website for more information: https://support.office.com/en-nz/article/Enable-or-disable-macros-in-Office-documents-7b4fdd2e-174f-47e2-9611-9efe4f860b12</t>
  </si>
  <si>
    <t>CHECK IF CALCULATIONS ARE TURNED TO "AUTOMATIC" 
Go to the Formula ribbon 
Then click on Calculation Options
Then click on Automatic</t>
  </si>
  <si>
    <t>This is where you should cut and past data that you want to analyse.
Place the cursor in the top left, in cell C5, and hit Paste
Make sure to include column labels, but not more than one row of column labels
If there is already data in this worksheet, hit the Clear button to remove that data before pasting in new data
When ready, click on the SELECT DATA to move on to the next stage.</t>
  </si>
  <si>
    <t>The ratio of two percentages: the percentage of correct positive classifications made by the model to the percentage of actual positive classifications in the test data. 100% = no better than chance. Less than 100% = worse than chance, More than 100% = better than chance</t>
  </si>
  <si>
    <t>The likelihood that the outcome would not be expected in a case with the model attributes compared to the likelihood that that outcome would not be expected in a case without the model attributes</t>
  </si>
  <si>
    <t>The proportion of all cases which are False Positives and False Negatives. Less is better</t>
  </si>
  <si>
    <t>To re-load a previous model, place the cursor over the relevant row model, click, then click on the Load button
The contents that model, and all its performance data, will then re-appear in the Design &amp; Evaluate view</t>
  </si>
  <si>
    <t>Any models generated by the Find New Models algorithms are automatically saved with a generated name shown here
That name will describe the nature of the search that generated the model. If more than one equal best model was generated then they will be numbered.
Only the most recent of the equal best models will be shown in here. The rest will be accesible via the View Models worksheet
Any manually created model, or manually tweaked version of an existing model, needs to be named here, and then saved by hitting SAVE</t>
  </si>
  <si>
    <t>The proportion of False Negatives among all the cases where the outcome is present</t>
  </si>
  <si>
    <t>The proportion of all cases with the Outcome absent that are correctly identified by the model</t>
  </si>
  <si>
    <t>ref_hamming_distances</t>
  </si>
  <si>
    <t>polx</t>
  </si>
  <si>
    <t>oust</t>
  </si>
  <si>
    <t>ruler</t>
  </si>
  <si>
    <t>Exhaustive Search Warning Limit</t>
  </si>
  <si>
    <t>Display a warning if number of attributes * cases exceeds this</t>
  </si>
  <si>
    <t>F_Score</t>
  </si>
  <si>
    <t>ref_averaged_accuracy</t>
  </si>
  <si>
    <t>ref_f_score</t>
  </si>
  <si>
    <t>[--0-1---1--] Best configuration (Present, Accuracy) 1</t>
  </si>
  <si>
    <t xml:space="preserve">[--0-1---1--] </t>
  </si>
  <si>
    <t>[--0-1---1--]</t>
  </si>
  <si>
    <t>Best additional attribute</t>
  </si>
  <si>
    <t>Checklist to use before inputting data</t>
  </si>
  <si>
    <t>Eval C3</t>
  </si>
  <si>
    <r>
      <rPr>
        <b/>
        <sz val="20"/>
        <color theme="3"/>
        <rFont val="Calibri"/>
        <family val="2"/>
        <scheme val="minor"/>
      </rPr>
      <t>1.</t>
    </r>
    <r>
      <rPr>
        <b/>
        <sz val="20"/>
        <color theme="8"/>
        <rFont val="Calibri"/>
        <family val="2"/>
        <scheme val="minor"/>
      </rPr>
      <t xml:space="preserve"> </t>
    </r>
    <r>
      <rPr>
        <sz val="11"/>
        <color theme="3"/>
        <rFont val="Calibri"/>
        <family val="2"/>
        <scheme val="minor"/>
      </rPr>
      <t xml:space="preserve"> Prepare your data and input into Eval C3</t>
    </r>
  </si>
  <si>
    <r>
      <rPr>
        <b/>
        <sz val="18"/>
        <color theme="3"/>
        <rFont val="Calibri"/>
        <family val="2"/>
        <scheme val="minor"/>
      </rPr>
      <t>2.</t>
    </r>
    <r>
      <rPr>
        <b/>
        <sz val="18"/>
        <color theme="8"/>
        <rFont val="Calibri"/>
        <family val="2"/>
        <scheme val="minor"/>
      </rPr>
      <t xml:space="preserve">  </t>
    </r>
    <r>
      <rPr>
        <sz val="11"/>
        <color theme="3"/>
        <rFont val="Calibri"/>
        <family val="2"/>
        <scheme val="minor"/>
      </rPr>
      <t>Select your attributes and outcome</t>
    </r>
  </si>
  <si>
    <r>
      <rPr>
        <b/>
        <sz val="18"/>
        <color theme="3"/>
        <rFont val="Calibri"/>
        <family val="2"/>
        <scheme val="minor"/>
      </rPr>
      <t xml:space="preserve">3.  </t>
    </r>
    <r>
      <rPr>
        <sz val="11"/>
        <color theme="3"/>
        <rFont val="Calibri"/>
        <family val="2"/>
        <scheme val="minor"/>
      </rPr>
      <t>Design the model and view its performance</t>
    </r>
  </si>
  <si>
    <r>
      <rPr>
        <b/>
        <sz val="18"/>
        <color theme="3"/>
        <rFont val="Calibri"/>
        <family val="2"/>
        <scheme val="minor"/>
      </rPr>
      <t xml:space="preserve">4.  </t>
    </r>
    <r>
      <rPr>
        <sz val="11"/>
        <color theme="3"/>
        <rFont val="Calibri"/>
        <family val="2"/>
        <scheme val="minor"/>
      </rPr>
      <t>View performance of all models</t>
    </r>
  </si>
  <si>
    <r>
      <rPr>
        <b/>
        <sz val="18"/>
        <color theme="3"/>
        <rFont val="Calibri"/>
        <family val="2"/>
        <scheme val="minor"/>
      </rPr>
      <t xml:space="preserve">5.  </t>
    </r>
    <r>
      <rPr>
        <sz val="11"/>
        <color theme="3"/>
        <rFont val="Calibri"/>
        <family val="2"/>
        <scheme val="minor"/>
      </rPr>
      <t>View cases as predicted by current model</t>
    </r>
  </si>
  <si>
    <t xml:space="preserve">Enables users to identify one or more sets of project attributes which are good predictors of the achievement of an outcome of interest. </t>
  </si>
  <si>
    <t>ref_gini_index</t>
  </si>
  <si>
    <t>If these attributes have this status</t>
  </si>
  <si>
    <t>Gini_Index</t>
  </si>
  <si>
    <t>ref_missing_data</t>
  </si>
  <si>
    <t>Timestamp</t>
  </si>
  <si>
    <t>Objective</t>
  </si>
  <si>
    <t>Model attributes are…</t>
  </si>
  <si>
    <t>Design</t>
  </si>
  <si>
    <t>Evaluate</t>
  </si>
  <si>
    <t>Explore</t>
  </si>
  <si>
    <t>For more information visit</t>
  </si>
  <si>
    <t>www.evalc3.net</t>
  </si>
  <si>
    <t>Benin</t>
  </si>
  <si>
    <t>Botswana</t>
  </si>
  <si>
    <t>Burkina faso</t>
  </si>
  <si>
    <t>Burundi</t>
  </si>
  <si>
    <t>Congo</t>
  </si>
  <si>
    <t>Djibouti</t>
  </si>
  <si>
    <t>Ethiopia</t>
  </si>
  <si>
    <t>Gabon</t>
  </si>
  <si>
    <t>Gambia</t>
  </si>
  <si>
    <t>Ghana</t>
  </si>
  <si>
    <t>Guinea-Bissau</t>
  </si>
  <si>
    <t>Kenya</t>
  </si>
  <si>
    <t>Lesotho</t>
  </si>
  <si>
    <t>Madagascar</t>
  </si>
  <si>
    <t>Malawi</t>
  </si>
  <si>
    <t>Mali</t>
  </si>
  <si>
    <t>Mozambique</t>
  </si>
  <si>
    <t>Namibia</t>
  </si>
  <si>
    <t>Niger</t>
  </si>
  <si>
    <t>Nigeria</t>
  </si>
  <si>
    <t>Senegal</t>
  </si>
  <si>
    <t>Sierra Leone</t>
  </si>
  <si>
    <t>South Africa</t>
  </si>
  <si>
    <t>Tanzania</t>
  </si>
  <si>
    <t>Uganda</t>
  </si>
  <si>
    <t>Zambia</t>
  </si>
  <si>
    <t>Country</t>
  </si>
  <si>
    <t>Electoral system</t>
  </si>
  <si>
    <t>Quotas</t>
  </si>
  <si>
    <t>Women's status</t>
  </si>
  <si>
    <t>Level of human development</t>
  </si>
  <si>
    <t>Post-conflict situation</t>
  </si>
  <si>
    <t>% women in national parliament</t>
  </si>
  <si>
    <t>Target outcome</t>
  </si>
  <si>
    <t>ref_cases_x_models</t>
  </si>
  <si>
    <t>Displat a warning if number of visible models exceeds this when updating Cases X Models table</t>
  </si>
  <si>
    <t>Max #models in Cases X Models</t>
  </si>
  <si>
    <t>ref_decision_tree_model</t>
  </si>
  <si>
    <t>Decision Tree Model</t>
  </si>
  <si>
    <t>ref_load_decision_tree_model</t>
  </si>
  <si>
    <t xml:space="preserve">How to read this Decision Tree:
1. Each branch  represents a separate configuration of attributes, and is a separate predictive model
2. Each branch is read from the base of the tree on the left to the "leaves" at its end point on the right. 
3. Beige leaves represent predictions of the outcome being absent. Green leaves represent predictions of the outcome being present
4. Each leaf has two numbers. The first represents the number of TP cases predicted by that model. The second represents the number of FP cases predicted by that model
</t>
  </si>
  <si>
    <t>To view the performance of each model in detail, select the colored cell to the immediate left of the "leaf" which has the numbers that interest you, then click "Load Model"
This will take you to Design &amp; Evaluate view where you will see the model attributes and the performance details of this model"</t>
  </si>
  <si>
    <t>Decision Tree Search model type</t>
  </si>
  <si>
    <t>ref_save_decision_tree_model</t>
  </si>
  <si>
    <t>If a model node (blue cell) is selected, this button saves that model to the "View Models" tab.
If no model is selected, this button saves all models in the decision tree,</t>
  </si>
  <si>
    <r>
      <t>F</t>
    </r>
    <r>
      <rPr>
        <sz val="8"/>
        <color theme="0"/>
        <rFont val="Calibri"/>
        <family val="2"/>
        <scheme val="minor"/>
      </rPr>
      <t>1</t>
    </r>
    <r>
      <rPr>
        <sz val="11"/>
        <color theme="0"/>
        <rFont val="Calibri"/>
        <family val="2"/>
        <scheme val="minor"/>
      </rPr>
      <t>-score</t>
    </r>
  </si>
  <si>
    <t>Balanced accuracy</t>
  </si>
  <si>
    <t>Model status</t>
  </si>
  <si>
    <t>Model performance</t>
  </si>
  <si>
    <t>Alternative measures</t>
  </si>
  <si>
    <t>User's own measure</t>
  </si>
  <si>
    <t>`</t>
  </si>
  <si>
    <t>Balanced_Accuracy</t>
  </si>
  <si>
    <t>MCC</t>
  </si>
  <si>
    <t>User_Defined</t>
  </si>
  <si>
    <t>ref_user_defined</t>
  </si>
  <si>
    <t>ref_mcc</t>
  </si>
  <si>
    <t>ref_dt_icon</t>
  </si>
  <si>
    <t>Performance measures marked with this icon are suitable to use when building a decision tree.</t>
  </si>
  <si>
    <t>OUTCOME</t>
  </si>
  <si>
    <t>ref_consistency</t>
  </si>
  <si>
    <t>ref_coverage</t>
  </si>
  <si>
    <t>ref_optimize_attributes</t>
  </si>
  <si>
    <t>ref_config_count</t>
  </si>
  <si>
    <t>Consistency and Coverage Formula</t>
  </si>
  <si>
    <t>=2*((consistency * coverage) / (consistency + coverage))</t>
  </si>
  <si>
    <t>Coverage Name</t>
  </si>
  <si>
    <t>Diversity</t>
  </si>
  <si>
    <t>Find an optimal set of attributes which maximises consistency and/or diversity</t>
  </si>
  <si>
    <t xml:space="preserve">Starting Value for optimising Consistency and Diversity (coverage)  </t>
  </si>
  <si>
    <t>One of:
0 = Ignore, 
1 = Attribute</t>
  </si>
  <si>
    <t>ref_sort_by_configurations</t>
  </si>
  <si>
    <t>Designed by</t>
  </si>
  <si>
    <t>Rick Davies</t>
  </si>
  <si>
    <t>ref_paste_data</t>
  </si>
  <si>
    <t>ref_sample_dataset</t>
  </si>
  <si>
    <t>If you have copied data to the clipboard, this button pastes it in the right place. Otherwise it lets you use the built-in sample dataset.</t>
  </si>
  <si>
    <t>Each row in this table lists details of your previously saved models. These include both the attributes of the models and performance measures for those models.
Select a model and click View Cases to see which cases it predicts correctly.
To compare the cases covered by two or more models, select the models you want to compare using Control-click, then click the orange Compare Models button.</t>
  </si>
  <si>
    <t>Compare Models</t>
  </si>
  <si>
    <t>ref_count_tps</t>
  </si>
  <si>
    <t>comment</t>
  </si>
  <si>
    <t>ref_unique_coverage</t>
  </si>
  <si>
    <t>ref_aggregate_coverage</t>
  </si>
  <si>
    <t>Percentage of cases with the outcome that are correctly predicted by all these models.</t>
  </si>
  <si>
    <t>Percentage of cases with the outcome that are correctly predicted by this model only.</t>
  </si>
  <si>
    <t>License:</t>
  </si>
  <si>
    <t xml:space="preserve">Creative Commons Attribution-NonCommercial-ShareAlike 4.0 International </t>
  </si>
  <si>
    <t>Number of cases with the outcome that are correctly predicted by this model.</t>
  </si>
  <si>
    <t>Attribute Configurations</t>
  </si>
  <si>
    <t>Attribute and Outcome Configurations</t>
  </si>
  <si>
    <t>Attribute &amp; Outcome Configurations</t>
  </si>
  <si>
    <t>Consistency:</t>
  </si>
  <si>
    <t>Coverage</t>
  </si>
  <si>
    <t>Consistency</t>
  </si>
  <si>
    <t>Find models that are:</t>
  </si>
  <si>
    <t>Decision tree model</t>
  </si>
  <si>
    <t>Necessary and sufficient</t>
  </si>
  <si>
    <t>Necessary and not sufficient</t>
  </si>
  <si>
    <t>Sufficient and not necessary</t>
  </si>
  <si>
    <t>Neither but most predictive</t>
  </si>
  <si>
    <t>Necessary and sufficient QC model name</t>
  </si>
  <si>
    <t>Necessary and not sufficeint QC model name</t>
  </si>
  <si>
    <t>Sufficient and not necessary QC model name</t>
  </si>
  <si>
    <t>Neither but most predictive QC model name</t>
  </si>
  <si>
    <t>ref_necessary</t>
  </si>
  <si>
    <t>ref_sufficient</t>
  </si>
  <si>
    <t>ref_necessary_and_sufficient</t>
  </si>
  <si>
    <t>ref_neither</t>
  </si>
  <si>
    <t>Gini Coefficient: a statistical measure of the degree of variation represented in a set of values, used especially in analysing income inequality</t>
  </si>
  <si>
    <t>Gini coefficient</t>
  </si>
  <si>
    <t>Mathews Coefficient</t>
  </si>
  <si>
    <t>With thanks to</t>
  </si>
  <si>
    <t xml:space="preserve">Pre-testers: </t>
  </si>
  <si>
    <t>Adinda van Hemelrijck &amp; Aba Sey, Nicholas Zhang, Aidan Craney</t>
  </si>
  <si>
    <t>Peer reviewers:</t>
  </si>
  <si>
    <t>Barbara Befani</t>
  </si>
  <si>
    <t>Use the built-in sample dataset (Krook, 2010, described at https://evalc3.net/data-sets/)</t>
  </si>
  <si>
    <t>Sorts the table to group identical rows (configurations of attributes) according to the columns currently selected as attributes.</t>
  </si>
  <si>
    <t>The number of distinct configurations in the current data set using the currently selected attributes</t>
  </si>
  <si>
    <t>The percentage of all configurations with only one type of outcome</t>
  </si>
  <si>
    <t>The percentage of all possible configurations (of the currently selected attributes) that are present in this data set</t>
  </si>
  <si>
    <r>
      <t xml:space="preserve">In this worksheet you need to make choices as to which columns of data you want to use in the subsequent analyses
</t>
    </r>
    <r>
      <rPr>
        <sz val="11"/>
        <color rgb="FFFF0000"/>
        <rFont val="Calibri"/>
        <family val="2"/>
        <scheme val="minor"/>
      </rPr>
      <t xml:space="preserve">
Each column has been given a default label, which you are likely to need to edit</t>
    </r>
    <r>
      <rPr>
        <sz val="11"/>
        <color theme="3"/>
        <rFont val="Calibri"/>
        <family val="2"/>
        <scheme val="minor"/>
      </rPr>
      <t xml:space="preserve">
1. At least one column needs to be labeled ID. Preferably one that tells you something about the identity of each case
2. </t>
    </r>
    <r>
      <rPr>
        <sz val="11"/>
        <color rgb="FFFF0000"/>
        <rFont val="Calibri"/>
        <family val="2"/>
        <scheme val="minor"/>
      </rPr>
      <t>One and only one column needs to be labelled OUTCOME. It is events in this column that EvalC3 will try to predict. The last column is by default labelled as OUTCOME. If you have more than one column of outcome data, label those you will not use in any given analysis as "Ignore"</t>
    </r>
    <r>
      <rPr>
        <sz val="11"/>
        <color theme="3"/>
        <rFont val="Calibri"/>
        <family val="2"/>
        <scheme val="minor"/>
      </rPr>
      <t xml:space="preserve">
3. All or some of the other columns can be labelled as ATTRIBUTES. These will be used to develop a predictive model of the outcome. 
</t>
    </r>
    <r>
      <rPr>
        <sz val="11"/>
        <color rgb="FFFF0000"/>
        <rFont val="Calibri"/>
        <family val="2"/>
        <scheme val="minor"/>
      </rPr>
      <t>Use the IGNORE label, to leave any column of attribute data out of the model building exercise</t>
    </r>
    <r>
      <rPr>
        <sz val="11"/>
        <color theme="3"/>
        <rFont val="Calibri"/>
        <family val="2"/>
        <scheme val="minor"/>
      </rPr>
      <t xml:space="preserve">
Use the normal Excel filter function to select out any cases you dont want to include in the analysis
When all this is done, click on the orange DESIGN &amp; EVALUATE button in row 2, to move to the next stage in the analysis
</t>
    </r>
  </si>
  <si>
    <r>
      <t>1. Start by manually designing a model. Under "</t>
    </r>
    <r>
      <rPr>
        <sz val="11"/>
        <color rgb="FFFF0000"/>
        <rFont val="Calibri"/>
        <family val="2"/>
        <scheme val="minor"/>
      </rPr>
      <t>Design"</t>
    </r>
    <r>
      <rPr>
        <sz val="11"/>
        <color theme="3"/>
        <rFont val="Calibri"/>
        <family val="2"/>
        <scheme val="minor"/>
      </rPr>
      <t xml:space="preserve"> select the attributes of a project that you think will predict the presence of the outcome of interest.
2. Then under "</t>
    </r>
    <r>
      <rPr>
        <sz val="11"/>
        <color rgb="FFFF0000"/>
        <rFont val="Calibri"/>
        <family val="2"/>
        <scheme val="minor"/>
      </rPr>
      <t>Evaluate"</t>
    </r>
    <r>
      <rPr>
        <sz val="11"/>
        <color theme="3"/>
        <rFont val="Calibri"/>
        <family val="2"/>
        <scheme val="minor"/>
      </rPr>
      <t xml:space="preserve"> inspect the Confusion Matrix , to see how well it performs. 
A good model will have a high proportion of all cases in the True Positive category.
Inspect the "</t>
    </r>
    <r>
      <rPr>
        <sz val="11"/>
        <color rgb="FFFF0000"/>
        <rFont val="Calibri"/>
        <family val="2"/>
        <scheme val="minor"/>
      </rPr>
      <t>Model Status"</t>
    </r>
    <r>
      <rPr>
        <sz val="11"/>
        <color theme="3"/>
        <rFont val="Calibri"/>
        <family val="2"/>
        <scheme val="minor"/>
      </rPr>
      <t xml:space="preserve"> and</t>
    </r>
    <r>
      <rPr>
        <sz val="11"/>
        <color rgb="FFFF0000"/>
        <rFont val="Calibri"/>
        <family val="2"/>
        <scheme val="minor"/>
      </rPr>
      <t xml:space="preserve"> "Model Performance"</t>
    </r>
    <r>
      <rPr>
        <sz val="11"/>
        <rFont val="Calibri"/>
        <family val="2"/>
        <scheme val="minor"/>
      </rPr>
      <t xml:space="preserve"> measures</t>
    </r>
    <r>
      <rPr>
        <sz val="11"/>
        <color theme="3"/>
        <rFont val="Calibri"/>
        <family val="2"/>
        <scheme val="minor"/>
      </rPr>
      <t xml:space="preserve"> below to get a more detailed perspective on the performance of the model
3. Then under "Explore" click on </t>
    </r>
    <r>
      <rPr>
        <sz val="11"/>
        <color rgb="FFFF0000"/>
        <rFont val="Calibri"/>
        <family val="2"/>
        <scheme val="minor"/>
      </rPr>
      <t>any of the buttons</t>
    </r>
    <r>
      <rPr>
        <sz val="11"/>
        <color theme="3"/>
        <rFont val="Calibri"/>
        <family val="2"/>
        <scheme val="minor"/>
      </rPr>
      <t xml:space="preserve"> to generate alternative models using two different algorithms
4. Revisit the "Design" section to see</t>
    </r>
    <r>
      <rPr>
        <sz val="11"/>
        <color theme="3"/>
        <rFont val="Calibri"/>
        <family val="2"/>
        <scheme val="minor"/>
      </rPr>
      <t xml:space="preserve"> what has been found and inspect its performance
Then tweak the features of the model, to see what differences various small changes make to its performance</t>
    </r>
  </si>
  <si>
    <r>
      <t xml:space="preserve">This is where you will find the description of the current model. 
This includes the attributes that need to be present (or absent or which are not relevant) in order for the outcome to be present (or absent)
You can tweak each of these, by using the drop down menu in the adjacent Status column.
N/A means the attribute is irelevant, it does not matter if it is present or absent
When you use </t>
    </r>
    <r>
      <rPr>
        <sz val="11"/>
        <color rgb="FFFF0000"/>
        <rFont val="Calibri"/>
        <family val="2"/>
        <scheme val="minor"/>
      </rPr>
      <t>Explore</t>
    </r>
    <r>
      <rPr>
        <sz val="11"/>
        <color theme="3"/>
        <rFont val="Calibri"/>
        <family val="2"/>
        <scheme val="minor"/>
      </rPr>
      <t>, the results (i.e. the design of the found model) will automatically appear here. These can also be manually tweaked.</t>
    </r>
  </si>
  <si>
    <r>
      <t xml:space="preserve">These are all based on the data in the Confusion Matrix above
</t>
    </r>
    <r>
      <rPr>
        <sz val="11"/>
        <color rgb="FFFF0000"/>
        <rFont val="Calibri"/>
        <family val="2"/>
        <scheme val="minor"/>
      </rPr>
      <t xml:space="preserve">
Hold your cursor over the cells containing calculated numbers to see the formula used to generate each measure</t>
    </r>
    <r>
      <rPr>
        <sz val="11"/>
        <color theme="3"/>
        <rFont val="Calibri"/>
        <family val="2"/>
        <scheme val="minor"/>
      </rPr>
      <t xml:space="preserve">
Look here to find more information these measures:  https://en.wikipedia.org/wiki/Confusion_matrix</t>
    </r>
  </si>
  <si>
    <t>An attribute, or configuration of attributes, is Necessary if the Outcome is only present where the configuration is present
Evidence: False Negatives = 0 cases
An attribute, or configuration of attributes, may be Necessary and Sufficient if FN = 0 and FP = 0, or Necessary but Insufficient if FN=0 and FP=&gt;0</t>
  </si>
  <si>
    <t>An attribute, or configuration of attributes, is Sufficient if the Outcome is always present where the configuration is present
Evidence: False Positives = 0 cases
An attribute, or configuration of attributes, may be Sufficient and Necessary if FP=0 and FN=0, or Sufficient and Unnecessary if FP=0 and FN=&gt;0</t>
  </si>
  <si>
    <t>Mathews Coefficient is used as a measure of the quality of binary (two-class) classifications. It takes into account true and false positives and negatives and is generally regarded as a balanced measure which can be used even if the classes are of very different sizes
See https://en.wikipedia.org/wiki/Matthews_correlation_coefficient</t>
  </si>
  <si>
    <t>F1 score conveys the balance between the precision and the recall. A higher value means more balance
See https://en.wikipedia.org/wiki/F1_score</t>
  </si>
  <si>
    <t>The proportion of all cases with the outcome present (TP+FN) that are correctly identified by the model (TP). 
In QCA, known as Coverage. Also known as Sensitivity, or Recall</t>
  </si>
  <si>
    <t>The proportion of True Positives among all the cases where all the attributes of the model are present. 
In QCA, known as Consistency. Also known as Precision, or Positive Predictive Value</t>
  </si>
  <si>
    <t>The proportion of all cases which are True Positives and True Negatives. More is better.
Not a good measure to use when the Outcome is uncommon or very common</t>
  </si>
  <si>
    <t>A measure of overall accuracy that takes into account the frequency of the outcome. 
Suitable when the outcome is very common or very uncommon</t>
  </si>
  <si>
    <t xml:space="preserve">This is how often you would be wrong if you always predicted the majority class.
This can be a useful baseline metric to compare your model against. </t>
  </si>
  <si>
    <t>The likelihood that the outcome would be expected in a case with the model attributes compared to the likelihood that that outcome would be expected in a case without the model attributes
See https://en.wikipedia.org/wiki/Confusion_matrix</t>
  </si>
  <si>
    <t>Enter your own formula here, using cells within the Confusion Matrix</t>
  </si>
  <si>
    <t>Use a decision tree to search for the most predictive models whose attributes are neither necessary nor sufficient.
This might not find ALL possible models with those properties.</t>
  </si>
  <si>
    <t>There are four options:
1. To do an exhaustive search of all possible combinations of attributes, to find out which is the best predictor of the outcome, according to a selected performance indicator. Check View Models to see if more than one best model has been identified. Warning: Processing time doubles with every additional attribute in the data set. 
2. To do an evolutionary search of all possible combinations of attributes, to find out which is the best predictor of the outcome. 
This is quicker but may it not find the best of all possible solutions in the first iteration. Repeat to be sure.
3. To do an exhaustive search of single attributes, to find out which is the best predictor of the outcome. When repeated it will treat the results of the first iteration as as constraints that must be met.
4. To build a Decision Tree model where each branch will represent a model that predicts the outcome of a specific subset of cases.
Yopu can also choose which model performance measures to use and what constraints to impose on a search</t>
  </si>
  <si>
    <t>Built by</t>
  </si>
  <si>
    <t>ref_compare_cases</t>
  </si>
  <si>
    <t>Use algorithms to search for models whose attributes are sufficient but not necessary. There will be no False Positives but there will be some False Negatives</t>
  </si>
  <si>
    <t>Use algorithms to search for models whose attributes are necessary but not sufficient. There will be no False Negatives but there will be some False Positives</t>
  </si>
  <si>
    <t>Use algorithms to search for models whose attributes are both necessary and sufficient.
There will be no False Negatives and no False Positives</t>
  </si>
  <si>
    <t>All four buttons take you to the same Search Dialogue box. But the first three will pre-populate the Constraints box with text that will limit the search to the type of model described by the button</t>
  </si>
  <si>
    <t>This table shows those cases identified as True Positives by two or more models of interest
Use the "% unique coverage" in the bottom row to identify to what extent each model uniquely predicts the expected outcome. Models which predict a high proportion will be of value.
Use the "# of models" column on the right to find cases predicted by more than one model. These cases may need further attention via within-case investigations, to find out which model has the most explanatory power.</t>
  </si>
  <si>
    <t xml:space="preserve">This outcome </t>
  </si>
  <si>
    <t xml:space="preserve">will be </t>
  </si>
  <si>
    <t>The performance of a predictive model is summarised by the number of cases in each of the cells of a truth table known as a Confusion Matrix
TP = True Positive cases
FP = False Positive cases
FN = False Negative cases
TN = True Negative cases
The Model Performance measures shown further below are all based on the numbers present in the Confusion Matrix
Look here for more information about Confusion Matrix: https://en.wikipedia.org/wiki/Confusion_matrix</t>
  </si>
  <si>
    <t>Explore within model</t>
  </si>
  <si>
    <t>ref_sensitivity</t>
  </si>
  <si>
    <t>The percentage of cells in data set having no values</t>
  </si>
  <si>
    <t>There are three options in this View Cases view
1. Filter the cases using any of the columns, as you would in any Excel file
2. Click on the Calculate Similarity button, to generate a new column which shows how similar each case is to all other current cases (among all those displayed). A high percentage value means the case is very similar to all others. The highest vaue could be called a modal case
3. After Calulating Similarity, the Compare button will become live. Select a case (row) that is of interest (the comparator), then click on Compare. A ne column of percentage values will appear. The green highlighted cases are those that are most similar (MS)  to the selected case. The beige colored cases are those that are most different (MD). You can change the choice of comparator and re-click the Compare button as often as you like
You can use all three options to select cases for within-case investigation. For more information on within-case analysis  go to http://evalc3.net/how-it-works/within-case-analysis/  
and on case selection strategies go to http://evalc3.net/how-it-works/selecting-cases/</t>
  </si>
  <si>
    <r>
      <t>This measure of Similarity is the inverse of the Hamming Distance (=HD-1). Hamming Distance is a measure of how dissimilar two strings of binary values are to each other e.g.
0001110011
000</t>
    </r>
    <r>
      <rPr>
        <sz val="11"/>
        <color rgb="FFFF0000"/>
        <rFont val="Calibri"/>
        <family val="2"/>
        <scheme val="minor"/>
      </rPr>
      <t>00</t>
    </r>
    <r>
      <rPr>
        <sz val="11"/>
        <color theme="3"/>
        <rFont val="Calibri"/>
        <family val="2"/>
        <scheme val="minor"/>
      </rPr>
      <t>1001</t>
    </r>
    <r>
      <rPr>
        <sz val="11"/>
        <color rgb="FFFF0000"/>
        <rFont val="Calibri"/>
        <family val="2"/>
        <scheme val="minor"/>
      </rPr>
      <t>0
These two strings of case attributes differ in three places out of ten. The Hamming Distance here = 30%
Cases with high Similarity  are the most similar to all the others in the current selection of cases in the View Cases view</t>
    </r>
  </si>
  <si>
    <t>Select a case that you want to compare to other, by clicking on the case
within the Case column
Click on "Compare"
View the "MS &amp; MD" column. Beige highlighted cells are cases that are Most
Different. They have many different attributes compared to the case you
selected with Select Case. Pale green highlighted cells are the Most
Similar. They have many similar attributes to the case you selected with
Select Case.
The percentages in the "MS &amp; MD" refer to the percentage of attributes in
the highlighted case(s) that are the same as the selected case.
See https://evalc3.net/6-select-cases/ for more information</t>
  </si>
  <si>
    <t>Random Factor</t>
  </si>
  <si>
    <t>Decision Tree TP</t>
  </si>
  <si>
    <t>Decision Tree TN</t>
  </si>
  <si>
    <t>Decision Tree FP</t>
  </si>
  <si>
    <t>Decision Tree FN</t>
  </si>
  <si>
    <t>Decision Tree</t>
  </si>
  <si>
    <t>F1-score</t>
  </si>
  <si>
    <t>In any event, Rick Davies total aggregate liability to you for all damages of every kind and type (regardless of whether based in contract or tort) shall not exceed the purchase price of the product.</t>
  </si>
  <si>
    <r>
      <t>Limitation of Liability</t>
    </r>
    <r>
      <rPr>
        <sz val="11"/>
        <color theme="4" tint="-0.249977111117893"/>
        <rFont val="Calibri"/>
        <family val="2"/>
        <scheme val="minor"/>
      </rPr>
      <t xml:space="preserve">. </t>
    </r>
  </si>
  <si>
    <t xml:space="preserve">In no event shall Rick Davies be liable to you or any party related to you for any indirect, incidental, consequential, special, exemplary, or punitive damages or lost profits, even if Rick Davies has been advised of the possibility of such damages. </t>
  </si>
  <si>
    <t>Coverage / Sensitivity / Recall</t>
  </si>
  <si>
    <t>Consistency / Precision</t>
  </si>
  <si>
    <t xml:space="preserve">Example data set source: </t>
  </si>
  <si>
    <t>Krook ML (2010) Women’s representation in parliament: A qualitative comparative analysis. Political Studies 58(5): 886–908.</t>
  </si>
  <si>
    <t>Clicking this button will highlight (in green) the attribute in the current model which contributes the most to its performance. It will highlight (in red) the attribute which contributes the least to its performance.
This is evaluated by comparing the percentage point change in model performance after each attribute is selectively removed from the model.</t>
  </si>
  <si>
    <t xml:space="preserve">Parameters for evolutionary search were loosened, to enale longer duration seracha nd smaller incremental improvements in model performance </t>
  </si>
  <si>
    <t>Warning. This algorithm wll now run for up to 60 seconds even after finding what appears to be the best fitting model</t>
  </si>
  <si>
    <t>MAKE SURE SOLVER ADD-IN IS PRESENT IN YOUR EXCEL
Click on Data then look to the far right end of the ribbon
      If it is there you will see "?-&gt;Solver"
      If it's not, go to this Microsoft website for instructions: https://bit.ly/2JMN52p</t>
  </si>
  <si>
    <r>
      <t xml:space="preserve">To paste data from another spreadsheet, you must use the </t>
    </r>
    <r>
      <rPr>
        <b/>
        <sz val="11"/>
        <color theme="3"/>
        <rFont val="Calibri"/>
        <family val="2"/>
        <scheme val="minor"/>
      </rPr>
      <t>Paste data</t>
    </r>
    <r>
      <rPr>
        <sz val="11"/>
        <color theme="3"/>
        <rFont val="Calibri"/>
        <family val="2"/>
        <scheme val="minor"/>
      </rPr>
      <t xml:space="preserve"> button</t>
    </r>
  </si>
  <si>
    <r>
      <t>For basic help with using EvalC3, refer to the</t>
    </r>
    <r>
      <rPr>
        <b/>
        <sz val="11"/>
        <color theme="3"/>
        <rFont val="Calibri"/>
        <family val="2"/>
        <scheme val="minor"/>
      </rPr>
      <t xml:space="preserve"> Get Started</t>
    </r>
    <r>
      <rPr>
        <sz val="11"/>
        <color theme="3"/>
        <rFont val="Calibri"/>
        <family val="2"/>
        <scheme val="minor"/>
      </rPr>
      <t xml:space="preserve"> tab.</t>
    </r>
  </si>
  <si>
    <t>More detailed information is available at</t>
  </si>
  <si>
    <t>Bugs</t>
  </si>
  <si>
    <t>Sometimes EvalC3 will get into an unusable state. If this happens:</t>
  </si>
  <si>
    <t xml:space="preserve">To report a bug:  </t>
  </si>
  <si>
    <r>
      <rPr>
        <b/>
        <sz val="20"/>
        <color theme="3"/>
        <rFont val="Calibri"/>
        <family val="2"/>
        <scheme val="minor"/>
      </rPr>
      <t xml:space="preserve">2. </t>
    </r>
    <r>
      <rPr>
        <sz val="11"/>
        <color theme="3"/>
        <rFont val="Calibri"/>
        <family val="2"/>
        <scheme val="minor"/>
      </rPr>
      <t>Attach any other useful information eg spreadsheets of data used, your copy of EvalC3, screenshots (Alt+PrtScn)</t>
    </r>
  </si>
  <si>
    <r>
      <rPr>
        <b/>
        <sz val="20"/>
        <color theme="3"/>
        <rFont val="Calibri"/>
        <family val="2"/>
        <scheme val="minor"/>
      </rPr>
      <t>1.</t>
    </r>
    <r>
      <rPr>
        <b/>
        <sz val="11"/>
        <color theme="3"/>
        <rFont val="Calibri"/>
        <family val="2"/>
        <scheme val="minor"/>
      </rPr>
      <t xml:space="preserve">  </t>
    </r>
    <r>
      <rPr>
        <sz val="11"/>
        <color theme="3"/>
        <rFont val="Calibri"/>
        <family val="2"/>
        <scheme val="minor"/>
      </rPr>
      <t xml:space="preserve">If there has been an error from Excel, note down the error message and </t>
    </r>
    <r>
      <rPr>
        <b/>
        <sz val="11"/>
        <color theme="3"/>
        <rFont val="Calibri"/>
        <family val="2"/>
        <scheme val="minor"/>
      </rPr>
      <t>End</t>
    </r>
    <r>
      <rPr>
        <sz val="11"/>
        <color theme="3"/>
        <rFont val="Calibri"/>
        <family val="2"/>
        <scheme val="minor"/>
      </rPr>
      <t xml:space="preserve"> the dialogue.</t>
    </r>
  </si>
  <si>
    <r>
      <rPr>
        <b/>
        <sz val="20"/>
        <color theme="3"/>
        <rFont val="Calibri"/>
        <family val="2"/>
        <scheme val="minor"/>
      </rPr>
      <t xml:space="preserve">1. </t>
    </r>
    <r>
      <rPr>
        <sz val="11"/>
        <color theme="3"/>
        <rFont val="Calibri"/>
        <family val="2"/>
        <scheme val="minor"/>
      </rPr>
      <t>Write to rick.davies@gmail.com outlining the exact steps needed to reproduce the bug.</t>
    </r>
  </si>
  <si>
    <r>
      <rPr>
        <b/>
        <sz val="20"/>
        <color theme="3"/>
        <rFont val="Calibri"/>
        <family val="2"/>
        <scheme val="minor"/>
      </rPr>
      <t>2.</t>
    </r>
    <r>
      <rPr>
        <b/>
        <sz val="11"/>
        <color theme="3"/>
        <rFont val="Calibri"/>
        <family val="2"/>
        <scheme val="minor"/>
      </rPr>
      <t xml:space="preserve">  </t>
    </r>
    <r>
      <rPr>
        <sz val="11"/>
        <color theme="3"/>
        <rFont val="Calibri"/>
        <family val="2"/>
        <scheme val="minor"/>
      </rPr>
      <t xml:space="preserve">Ctrl+R (Command+R on Mac) will reset EvalC3 to its original state. </t>
    </r>
    <r>
      <rPr>
        <b/>
        <sz val="11"/>
        <color theme="3"/>
        <rFont val="Calibri"/>
        <family val="2"/>
        <scheme val="minor"/>
      </rPr>
      <t>THIS WILL ERASE ALL DATA.</t>
    </r>
  </si>
  <si>
    <r>
      <rPr>
        <b/>
        <sz val="20"/>
        <color theme="3"/>
        <rFont val="Calibri"/>
        <family val="2"/>
        <scheme val="minor"/>
      </rPr>
      <t xml:space="preserve">3. </t>
    </r>
    <r>
      <rPr>
        <sz val="11"/>
        <color theme="3"/>
        <rFont val="Calibri"/>
        <family val="2"/>
        <scheme val="minor"/>
      </rPr>
      <t>Attach the log file from your user's Local AppData folder</t>
    </r>
  </si>
  <si>
    <r>
      <t xml:space="preserve">On Windows this will be somewhere like </t>
    </r>
    <r>
      <rPr>
        <sz val="11"/>
        <color theme="3"/>
        <rFont val="Courier New"/>
        <family val="3"/>
      </rPr>
      <t>C:\Users\Rick\AppData\Local\evalc3\evalc3.log</t>
    </r>
    <r>
      <rPr>
        <sz val="11"/>
        <color theme="3"/>
        <rFont val="Calibri"/>
        <family val="2"/>
        <scheme val="minor"/>
      </rPr>
      <t>. You will need to have Hidden items ticked under the View menu of the file explorer.</t>
    </r>
  </si>
  <si>
    <r>
      <t xml:space="preserve">On Mac this will be somewhere like </t>
    </r>
    <r>
      <rPr>
        <sz val="11"/>
        <color theme="3"/>
        <rFont val="Courier New"/>
        <family val="3"/>
      </rPr>
      <t>/Users/Rick/Library/Containers/com.microsoft.Excel/Data/evalc3/evalc3.log</t>
    </r>
  </si>
  <si>
    <t>Navigation tips:</t>
  </si>
  <si>
    <t>View the HELP tab below, to read recent information about any bugs and how to deal with them</t>
  </si>
  <si>
    <t>Use the worksheet tabs below to look back at previous steps. DO NOT use them to go forward</t>
  </si>
  <si>
    <t>Use chevron tabs in row 2 above to work forward through the analysis, one chevron at a time</t>
  </si>
  <si>
    <t>Problems you might encounter</t>
  </si>
  <si>
    <t>"EvalC3 detected a problem with missing components"</t>
  </si>
  <si>
    <r>
      <t xml:space="preserve">This may be because the Solver plugin is not enabled (see </t>
    </r>
    <r>
      <rPr>
        <b/>
        <sz val="11"/>
        <color theme="3"/>
        <rFont val="Calibri"/>
        <family val="2"/>
        <scheme val="minor"/>
      </rPr>
      <t>Get Started</t>
    </r>
    <r>
      <rPr>
        <sz val="11"/>
        <color theme="3"/>
        <rFont val="Calibri"/>
        <family val="2"/>
        <scheme val="minor"/>
      </rPr>
      <t>)</t>
    </r>
  </si>
  <si>
    <r>
      <t xml:space="preserve">If you don't have a </t>
    </r>
    <r>
      <rPr>
        <b/>
        <sz val="11"/>
        <color theme="3"/>
        <rFont val="Calibri"/>
        <family val="2"/>
        <scheme val="minor"/>
      </rPr>
      <t>Developer</t>
    </r>
    <r>
      <rPr>
        <sz val="11"/>
        <color theme="3"/>
        <rFont val="Calibri"/>
        <family val="2"/>
        <scheme val="minor"/>
      </rPr>
      <t xml:space="preserve"> tab, try adding it under</t>
    </r>
    <r>
      <rPr>
        <b/>
        <sz val="11"/>
        <color theme="3"/>
        <rFont val="Calibri"/>
        <family val="2"/>
        <scheme val="minor"/>
      </rPr>
      <t xml:space="preserve"> File</t>
    </r>
    <r>
      <rPr>
        <sz val="11"/>
        <color theme="3"/>
        <rFont val="Calibri"/>
        <family val="2"/>
        <scheme val="minor"/>
      </rPr>
      <t xml:space="preserve"> -&gt; </t>
    </r>
    <r>
      <rPr>
        <b/>
        <sz val="11"/>
        <color theme="3"/>
        <rFont val="Calibri"/>
        <family val="2"/>
        <scheme val="minor"/>
      </rPr>
      <t>Options</t>
    </r>
    <r>
      <rPr>
        <sz val="11"/>
        <color theme="3"/>
        <rFont val="Calibri"/>
        <family val="2"/>
        <scheme val="minor"/>
      </rPr>
      <t xml:space="preserve"> -&gt; </t>
    </r>
    <r>
      <rPr>
        <b/>
        <sz val="11"/>
        <color theme="3"/>
        <rFont val="Calibri"/>
        <family val="2"/>
        <scheme val="minor"/>
      </rPr>
      <t>Customize Ribbon</t>
    </r>
  </si>
  <si>
    <r>
      <t xml:space="preserve">To see which components are missing, open the Visual Basic editor under the </t>
    </r>
    <r>
      <rPr>
        <b/>
        <sz val="11"/>
        <color theme="3"/>
        <rFont val="Calibri"/>
        <family val="2"/>
        <scheme val="minor"/>
      </rPr>
      <t>Developer</t>
    </r>
    <r>
      <rPr>
        <sz val="11"/>
        <color theme="3"/>
        <rFont val="Calibri"/>
        <family val="2"/>
        <scheme val="minor"/>
      </rPr>
      <t xml:space="preserve"> tab. Untick any entries marked MISSING under </t>
    </r>
    <r>
      <rPr>
        <b/>
        <sz val="11"/>
        <color theme="3"/>
        <rFont val="Calibri"/>
        <family val="2"/>
        <scheme val="minor"/>
      </rPr>
      <t>Tools</t>
    </r>
    <r>
      <rPr>
        <sz val="11"/>
        <color theme="3"/>
        <rFont val="Calibri"/>
        <family val="2"/>
        <scheme val="minor"/>
      </rPr>
      <t xml:space="preserve"> -&gt; </t>
    </r>
    <r>
      <rPr>
        <b/>
        <sz val="11"/>
        <color theme="3"/>
        <rFont val="Calibri"/>
        <family val="2"/>
        <scheme val="minor"/>
      </rPr>
      <t>References…</t>
    </r>
    <r>
      <rPr>
        <sz val="11"/>
        <color theme="3"/>
        <rFont val="Calibri"/>
        <family val="2"/>
        <scheme val="minor"/>
      </rPr>
      <t xml:space="preserve"> and restart Excel</t>
    </r>
  </si>
  <si>
    <t>ref_raw_coverage</t>
  </si>
  <si>
    <t>Percentage of cases with the outcome that are correctly predicted.</t>
  </si>
  <si>
    <t>Version: 2.5.43 @ 08/03/2021 08:03</t>
  </si>
  <si>
    <t>qca2</t>
  </si>
  <si>
    <t>qca1</t>
  </si>
  <si>
    <t>qca 3</t>
  </si>
  <si>
    <t>qca4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</si>
</sst>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T\N\ \=\ 0"/>
    <numFmt numFmtId="165" formatCode="\F\N\ \=\ 0"/>
    <numFmt numFmtId="166" formatCode="\T\P\ \=\ 0"/>
    <numFmt numFmtId="167" formatCode="\F\P\ \=\ 0"/>
  </numFmts>
  <fonts count="59" x14ac:knownFonts="1">
    <font>
      <sz val="11"/>
      <color theme="3"/>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4" tint="-0.499984740745262"/>
      <name val="Calibri"/>
      <family val="2"/>
      <scheme val="minor"/>
    </font>
    <font>
      <sz val="11"/>
      <color theme="3" tint="-0.24994659260841701"/>
      <name val="Calibri"/>
      <family val="2"/>
      <scheme val="minor"/>
    </font>
    <font>
      <b/>
      <sz val="15"/>
      <color theme="3"/>
      <name val="Calibri"/>
      <family val="2"/>
      <scheme val="minor"/>
    </font>
    <font>
      <sz val="11"/>
      <color theme="3"/>
      <name val="Calibri"/>
      <family val="2"/>
      <scheme val="minor"/>
    </font>
    <font>
      <sz val="11"/>
      <color theme="4" tint="-0.24994659260841701"/>
      <name val="Calibri"/>
      <family val="2"/>
      <scheme val="minor"/>
    </font>
    <font>
      <sz val="11"/>
      <color theme="3"/>
      <name val="Calibri"/>
      <family val="2"/>
    </font>
    <font>
      <b/>
      <sz val="20"/>
      <color theme="8"/>
      <name val="Calibri"/>
      <family val="2"/>
      <scheme val="minor"/>
    </font>
    <font>
      <b/>
      <sz val="18"/>
      <color theme="8"/>
      <name val="Calibri"/>
      <family val="2"/>
      <scheme val="minor"/>
    </font>
    <font>
      <b/>
      <sz val="12"/>
      <color theme="3" tint="-0.249977111117893"/>
      <name val="Calibri"/>
      <family val="2"/>
      <scheme val="minor"/>
    </font>
    <font>
      <u/>
      <sz val="11"/>
      <color theme="3"/>
      <name val="Calibri"/>
      <family val="2"/>
      <scheme val="minor"/>
    </font>
    <font>
      <sz val="11"/>
      <color theme="3" tint="-0.249977111117893"/>
      <name val="Calibri"/>
      <family val="2"/>
      <scheme val="minor"/>
    </font>
    <font>
      <b/>
      <sz val="12"/>
      <color theme="3" tint="-0.24994659260841701"/>
      <name val="Calibri"/>
      <family val="2"/>
      <scheme val="minor"/>
    </font>
    <font>
      <b/>
      <sz val="11"/>
      <color theme="4" tint="-0.249977111117893"/>
      <name val="Calibri"/>
      <family val="2"/>
      <scheme val="minor"/>
    </font>
    <font>
      <b/>
      <strike/>
      <sz val="12"/>
      <color theme="3" tint="-0.249977111117893"/>
      <name val="Calibri"/>
      <family val="2"/>
      <scheme val="minor"/>
    </font>
    <font>
      <sz val="11"/>
      <color theme="0" tint="-4.9989318521683403E-2"/>
      <name val="Calibri"/>
      <family val="2"/>
      <scheme val="minor"/>
    </font>
    <font>
      <b/>
      <sz val="15"/>
      <color theme="3" tint="-0.249977111117893"/>
      <name val="Calibri"/>
      <family val="2"/>
      <scheme val="minor"/>
    </font>
    <font>
      <sz val="11"/>
      <color theme="1" tint="0.14999847407452621"/>
      <name val="Calibri"/>
      <family val="2"/>
      <scheme val="minor"/>
    </font>
    <font>
      <b/>
      <sz val="11"/>
      <color theme="3" tint="-0.24994659260841701"/>
      <name val="Calibri"/>
      <family val="2"/>
      <scheme val="minor"/>
    </font>
    <font>
      <b/>
      <sz val="20"/>
      <color theme="3"/>
      <name val="Calibri"/>
      <family val="2"/>
      <scheme val="minor"/>
    </font>
    <font>
      <b/>
      <sz val="18"/>
      <color theme="3"/>
      <name val="Calibri"/>
      <family val="2"/>
      <scheme val="minor"/>
    </font>
    <font>
      <b/>
      <sz val="12"/>
      <color theme="0"/>
      <name val="Calibri"/>
      <family val="2"/>
      <scheme val="minor"/>
    </font>
    <font>
      <sz val="8"/>
      <color theme="3" tint="0.79998168889431442"/>
      <name val="Calibri"/>
      <family val="2"/>
      <scheme val="minor"/>
    </font>
    <font>
      <b/>
      <sz val="9"/>
      <color theme="1" tint="0.34998626667073579"/>
      <name val="Calibri"/>
      <family val="2"/>
      <scheme val="minor"/>
    </font>
    <font>
      <sz val="11"/>
      <color rgb="FFFF0000"/>
      <name val="Calibri"/>
      <family val="2"/>
      <scheme val="minor"/>
    </font>
    <font>
      <b/>
      <sz val="9"/>
      <color theme="0" tint="-0.34998626667073579"/>
      <name val="Calibri"/>
      <family val="2"/>
      <scheme val="minor"/>
    </font>
    <font>
      <b/>
      <sz val="14"/>
      <color theme="4" tint="-0.499984740745262"/>
      <name val="Calibri"/>
      <family val="2"/>
      <scheme val="minor"/>
    </font>
    <font>
      <b/>
      <sz val="11"/>
      <color theme="3"/>
      <name val="Calibri"/>
      <family val="2"/>
      <scheme val="minor"/>
    </font>
    <font>
      <sz val="11"/>
      <color rgb="FF1F497D"/>
      <name val="Calibri"/>
      <family val="2"/>
      <scheme val="minor"/>
    </font>
    <font>
      <b/>
      <sz val="18"/>
      <color theme="3" tint="-0.249977111117893"/>
      <name val="Calibri"/>
      <family val="2"/>
      <scheme val="minor"/>
    </font>
    <font>
      <sz val="9"/>
      <color indexed="81"/>
      <name val="Tahoma"/>
      <family val="2"/>
    </font>
    <font>
      <b/>
      <sz val="9"/>
      <color indexed="81"/>
      <name val="Tahoma"/>
      <family val="2"/>
    </font>
    <font>
      <u/>
      <sz val="11"/>
      <color theme="10"/>
      <name val="Calibri"/>
      <family val="2"/>
      <scheme val="minor"/>
    </font>
    <font>
      <sz val="11"/>
      <color rgb="FF006100"/>
      <name val="Calibri"/>
      <family val="2"/>
      <scheme val="minor"/>
    </font>
    <font>
      <sz val="11"/>
      <color rgb="FF9C6500"/>
      <name val="Calibri"/>
      <family val="2"/>
      <scheme val="minor"/>
    </font>
    <font>
      <sz val="10"/>
      <color theme="4" tint="-0.249977111117893"/>
      <name val="Calibri"/>
      <family val="2"/>
      <scheme val="minor"/>
    </font>
    <font>
      <b/>
      <sz val="14"/>
      <color theme="4" tint="-0.24994659260841701"/>
      <name val="Calibri"/>
      <family val="2"/>
      <scheme val="minor"/>
    </font>
    <font>
      <sz val="8"/>
      <color theme="0"/>
      <name val="Calibri"/>
      <family val="2"/>
      <scheme val="minor"/>
    </font>
    <font>
      <sz val="11"/>
      <color theme="5" tint="-0.24994659260841701"/>
      <name val="Calibri"/>
      <family val="2"/>
      <scheme val="minor"/>
    </font>
    <font>
      <b/>
      <sz val="11"/>
      <color theme="9" tint="-0.499984740745262"/>
      <name val="Calibri"/>
      <family val="2"/>
      <scheme val="minor"/>
    </font>
    <font>
      <sz val="11"/>
      <color theme="3" tint="0.79998168889431442"/>
      <name val="Calibri"/>
      <family val="2"/>
      <scheme val="minor"/>
    </font>
    <font>
      <sz val="11"/>
      <color rgb="FF3F3F76"/>
      <name val="Calibri"/>
      <family val="2"/>
      <scheme val="minor"/>
    </font>
    <font>
      <b/>
      <sz val="13"/>
      <color theme="3"/>
      <name val="Calibri"/>
      <family val="2"/>
      <scheme val="minor"/>
    </font>
    <font>
      <sz val="11"/>
      <name val="Calibri"/>
      <family val="2"/>
      <scheme val="minor"/>
    </font>
    <font>
      <sz val="12"/>
      <color theme="3"/>
      <name val="Calibri"/>
      <family val="2"/>
      <scheme val="minor"/>
    </font>
    <font>
      <sz val="11"/>
      <color theme="4" tint="-0.249977111117893"/>
      <name val="Calibri"/>
      <family val="2"/>
      <scheme val="minor"/>
    </font>
    <font>
      <sz val="11"/>
      <color theme="0" tint="-0.14999847407452621"/>
      <name val="Calibri"/>
      <family val="2"/>
      <scheme val="minor"/>
    </font>
    <font>
      <sz val="11"/>
      <color theme="3"/>
      <name val="Courier New"/>
      <family val="3"/>
    </font>
    <font>
      <sz val="8"/>
      <name val="Calibri"/>
      <family val="2"/>
      <scheme val="minor"/>
    </font>
  </fonts>
  <fills count="40">
    <fill>
      <patternFill patternType="none"/>
    </fill>
    <fill>
      <patternFill patternType="gray125"/>
    </fill>
    <fill>
      <patternFill patternType="solid">
        <fgColor theme="4" tint="0.59999389629810485"/>
        <bgColor indexed="65"/>
      </patternFill>
    </fill>
    <fill>
      <patternFill patternType="solid">
        <fgColor theme="4" tint="0.39997558519241921"/>
        <bgColor indexed="65"/>
      </patternFill>
    </fill>
    <fill>
      <patternFill patternType="solid">
        <fgColor theme="4" tint="0.79998168889431442"/>
        <bgColor indexed="65"/>
      </patternFill>
    </fill>
    <fill>
      <patternFill patternType="solid">
        <fgColor theme="4"/>
        <bgColor theme="4"/>
      </patternFill>
    </fill>
    <fill>
      <patternFill patternType="solid">
        <fgColor theme="4" tint="0.59996337778862885"/>
        <bgColor indexed="64"/>
      </patternFill>
    </fill>
    <fill>
      <patternFill patternType="solid">
        <fgColor theme="5" tint="0.39997558519241921"/>
        <bgColor indexed="65"/>
      </patternFill>
    </fill>
    <fill>
      <patternFill patternType="solid">
        <fgColor theme="4" tint="0.79998168889431442"/>
        <bgColor indexed="64"/>
      </patternFill>
    </fill>
    <fill>
      <patternFill patternType="solid">
        <fgColor rgb="FF4F81BD"/>
        <bgColor rgb="FF000000"/>
      </patternFill>
    </fill>
    <fill>
      <patternFill patternType="solid">
        <fgColor rgb="FF366092"/>
        <bgColor rgb="FF000000"/>
      </patternFill>
    </fill>
    <fill>
      <patternFill patternType="solid">
        <fgColor theme="4"/>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3" tint="-0.249977111117893"/>
        <bgColor indexed="64"/>
      </patternFill>
    </fill>
    <fill>
      <patternFill patternType="solid">
        <fgColor theme="7" tint="-0.249977111117893"/>
        <bgColor theme="7" tint="0.59999389629810485"/>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bgColor indexed="64"/>
      </patternFill>
    </fill>
    <fill>
      <patternFill patternType="solid">
        <fgColor theme="0"/>
        <bgColor indexed="64"/>
      </patternFill>
    </fill>
    <fill>
      <patternFill patternType="solid">
        <fgColor theme="5" tint="0.59999389629810485"/>
        <bgColor theme="7" tint="0.79998168889431442"/>
      </patternFill>
    </fill>
    <fill>
      <patternFill patternType="solid">
        <fgColor theme="5"/>
        <bgColor theme="7" tint="0.79998168889431442"/>
      </patternFill>
    </fill>
    <fill>
      <patternFill patternType="solid">
        <fgColor theme="7" tint="0.39997558519241921"/>
        <bgColor theme="7" tint="0.59999389629810485"/>
      </patternFill>
    </fill>
    <fill>
      <patternFill patternType="solid">
        <fgColor theme="3" tint="-0.249977111117893"/>
        <bgColor theme="7" tint="0.79998168889431442"/>
      </patternFill>
    </fill>
    <fill>
      <patternFill patternType="solid">
        <fgColor theme="3" tint="-0.249977111117893"/>
        <bgColor theme="4"/>
      </patternFill>
    </fill>
    <fill>
      <patternFill patternType="solid">
        <fgColor theme="3" tint="-0.24994659260841701"/>
        <bgColor indexed="64"/>
      </patternFill>
    </fill>
    <fill>
      <patternFill patternType="solid">
        <fgColor theme="3" tint="0.79998168889431442"/>
        <bgColor indexed="64"/>
      </patternFill>
    </fill>
    <fill>
      <patternFill patternType="solid">
        <fgColor theme="0"/>
        <bgColor rgb="FF000000"/>
      </patternFill>
    </fill>
    <fill>
      <patternFill patternType="solid">
        <fgColor theme="3" tint="-0.499984740745262"/>
        <bgColor indexed="64"/>
      </patternFill>
    </fill>
    <fill>
      <patternFill patternType="solid">
        <fgColor theme="4"/>
        <bgColor rgb="FF000000"/>
      </patternFill>
    </fill>
    <fill>
      <patternFill patternType="solid">
        <fgColor rgb="FFC6EFCE"/>
      </patternFill>
    </fill>
    <fill>
      <patternFill patternType="solid">
        <fgColor rgb="FFFFEB9C"/>
      </patternFill>
    </fill>
    <fill>
      <patternFill patternType="solid">
        <fgColor theme="4" tint="0.39997558519241921"/>
        <bgColor indexed="64"/>
      </patternFill>
    </fill>
    <fill>
      <patternFill patternType="solid">
        <fgColor theme="3" tint="0.79995117038483843"/>
        <bgColor indexed="64"/>
      </patternFill>
    </fill>
    <fill>
      <patternFill patternType="lightUp">
        <fgColor theme="0" tint="-0.24994659260841701"/>
        <bgColor auto="1"/>
      </patternFill>
    </fill>
    <fill>
      <patternFill patternType="solid">
        <fgColor theme="3" tint="0.59999389629810485"/>
        <bgColor auto="1"/>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tint="-0.14999847407452621"/>
        <bgColor theme="0" tint="-0.14999847407452621"/>
      </patternFill>
    </fill>
    <fill>
      <patternFill patternType="solid">
        <fgColor rgb="FFFFCC99"/>
      </patternFill>
    </fill>
  </fills>
  <borders count="37">
    <border>
      <left/>
      <right/>
      <top/>
      <bottom/>
      <diagonal/>
    </border>
    <border>
      <left style="dotted">
        <color rgb="FF7F7F7F"/>
      </left>
      <right style="dotted">
        <color rgb="FF7F7F7F"/>
      </right>
      <top style="dotted">
        <color rgb="FF7F7F7F"/>
      </top>
      <bottom style="dotted">
        <color rgb="FF7F7F7F"/>
      </bottom>
      <diagonal/>
    </border>
    <border>
      <left style="dotted">
        <color rgb="FF7F7F7F"/>
      </left>
      <right/>
      <top style="dotted">
        <color rgb="FF7F7F7F"/>
      </top>
      <bottom style="dotted">
        <color rgb="FF7F7F7F"/>
      </bottom>
      <diagonal/>
    </border>
    <border>
      <left/>
      <right/>
      <top style="dotted">
        <color rgb="FF7F7F7F"/>
      </top>
      <bottom style="dotted">
        <color rgb="FF7F7F7F"/>
      </bottom>
      <diagonal/>
    </border>
    <border>
      <left/>
      <right style="dotted">
        <color rgb="FF7F7F7F"/>
      </right>
      <top style="dotted">
        <color rgb="FF7F7F7F"/>
      </top>
      <bottom style="dotted">
        <color rgb="FF7F7F7F"/>
      </bottom>
      <diagonal/>
    </border>
    <border>
      <left/>
      <right/>
      <top/>
      <bottom style="thin">
        <color theme="4" tint="0.39997558519241921"/>
      </bottom>
      <diagonal/>
    </border>
    <border>
      <left/>
      <right/>
      <top/>
      <bottom style="thick">
        <color theme="4"/>
      </bottom>
      <diagonal/>
    </border>
    <border>
      <left style="thick">
        <color auto="1"/>
      </left>
      <right style="thick">
        <color auto="1"/>
      </right>
      <top style="thick">
        <color auto="1"/>
      </top>
      <bottom style="thick">
        <color auto="1"/>
      </bottom>
      <diagonal/>
    </border>
    <border>
      <left/>
      <right/>
      <top style="thin">
        <color indexed="64"/>
      </top>
      <bottom/>
      <diagonal/>
    </border>
    <border>
      <left/>
      <right/>
      <top/>
      <bottom style="thick">
        <color theme="0" tint="-0.14999847407452621"/>
      </bottom>
      <diagonal/>
    </border>
    <border>
      <left style="thin">
        <color theme="4"/>
      </left>
      <right/>
      <top/>
      <bottom/>
      <diagonal/>
    </border>
    <border>
      <left/>
      <right style="thin">
        <color theme="4"/>
      </right>
      <top/>
      <bottom/>
      <diagonal/>
    </border>
    <border>
      <left/>
      <right/>
      <top/>
      <bottom style="medium">
        <color theme="0" tint="-0.14999847407452621"/>
      </bottom>
      <diagonal/>
    </border>
    <border>
      <left style="thin">
        <color theme="0" tint="-0.14999847407452621"/>
      </left>
      <right style="thin">
        <color theme="0" tint="-0.14999847407452621"/>
      </right>
      <top style="thin">
        <color theme="0" tint="-0.14999847407452621"/>
      </top>
      <bottom style="medium">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bottom style="thin">
        <color theme="0" tint="-0.14999847407452621"/>
      </bottom>
      <diagonal/>
    </border>
    <border>
      <left style="thin">
        <color indexed="64"/>
      </left>
      <right/>
      <top/>
      <bottom/>
      <diagonal/>
    </border>
    <border>
      <left style="thin">
        <color indexed="64"/>
      </left>
      <right/>
      <top style="thin">
        <color indexed="64"/>
      </top>
      <bottom/>
      <diagonal/>
    </border>
    <border>
      <left/>
      <right/>
      <top style="medium">
        <color theme="0" tint="-0.14999847407452621"/>
      </top>
      <bottom style="medium">
        <color theme="0" tint="-0.14999847407452621"/>
      </bottom>
      <diagonal/>
    </border>
    <border>
      <left/>
      <right style="thin">
        <color theme="0" tint="-0.14999847407452621"/>
      </right>
      <top style="medium">
        <color theme="0" tint="-0.14999847407452621"/>
      </top>
      <bottom style="medium">
        <color theme="0" tint="-0.14999847407452621"/>
      </bottom>
      <diagonal/>
    </border>
    <border>
      <left style="thin">
        <color theme="0" tint="-0.14999847407452621"/>
      </left>
      <right/>
      <top style="medium">
        <color theme="0" tint="-0.14999847407452621"/>
      </top>
      <bottom style="medium">
        <color theme="0" tint="-0.14999847407452621"/>
      </bottom>
      <diagonal/>
    </border>
    <border>
      <left style="thin">
        <color theme="0"/>
      </left>
      <right style="thin">
        <color theme="0"/>
      </right>
      <top/>
      <bottom style="thick">
        <color theme="0"/>
      </bottom>
      <diagonal/>
    </border>
    <border>
      <left style="medium">
        <color theme="0" tint="-4.9989318521683403E-2"/>
      </left>
      <right style="thin">
        <color theme="0"/>
      </right>
      <top style="thin">
        <color theme="4" tint="0.39997558519241921"/>
      </top>
      <bottom style="thick">
        <color theme="0"/>
      </bottom>
      <diagonal/>
    </border>
    <border>
      <left/>
      <right/>
      <top/>
      <bottom style="thick">
        <color theme="4" tint="0.79998168889431442"/>
      </bottom>
      <diagonal/>
    </border>
    <border>
      <left style="thick">
        <color theme="4" tint="0.59996337778862885"/>
      </left>
      <right/>
      <top/>
      <bottom/>
      <diagonal/>
    </border>
    <border>
      <left/>
      <right/>
      <top/>
      <bottom style="thick">
        <color theme="4" tint="0.39994506668294322"/>
      </bottom>
      <diagonal/>
    </border>
    <border>
      <left style="thick">
        <color theme="4" tint="0.39994506668294322"/>
      </left>
      <right/>
      <top/>
      <bottom style="thick">
        <color theme="4" tint="0.39994506668294322"/>
      </bottom>
      <diagonal/>
    </border>
    <border>
      <left style="thick">
        <color theme="4" tint="0.59996337778862885"/>
      </left>
      <right/>
      <top/>
      <bottom style="thick">
        <color theme="4" tint="0.79998168889431442"/>
      </bottom>
      <diagonal/>
    </border>
    <border>
      <left style="dotted">
        <color rgb="FF7F7F7F"/>
      </left>
      <right/>
      <top/>
      <bottom/>
      <diagonal/>
    </border>
    <border>
      <left style="hair">
        <color theme="9" tint="-0.499984740745262"/>
      </left>
      <right style="hair">
        <color theme="9" tint="-0.499984740745262"/>
      </right>
      <top style="hair">
        <color theme="9" tint="-0.499984740745262"/>
      </top>
      <bottom style="hair">
        <color theme="9" tint="-0.499984740745262"/>
      </bottom>
      <diagonal/>
    </border>
    <border>
      <left/>
      <right/>
      <top/>
      <bottom style="medium">
        <color theme="1"/>
      </bottom>
      <diagonal/>
    </border>
    <border>
      <left style="thin">
        <color rgb="FF7F7F7F"/>
      </left>
      <right style="thin">
        <color rgb="FF7F7F7F"/>
      </right>
      <top style="thin">
        <color rgb="FF7F7F7F"/>
      </top>
      <bottom style="thin">
        <color rgb="FF7F7F7F"/>
      </bottom>
      <diagonal/>
    </border>
    <border>
      <left/>
      <right/>
      <top/>
      <bottom style="thick">
        <color theme="4" tint="0.499984740745262"/>
      </bottom>
      <diagonal/>
    </border>
    <border>
      <left style="medium">
        <color theme="0" tint="-4.9989318521683403E-2"/>
      </left>
      <right/>
      <top style="thin">
        <color theme="4" tint="0.39997558519241921"/>
      </top>
      <bottom style="medium">
        <color theme="0" tint="-4.9989318521683403E-2"/>
      </bottom>
      <diagonal/>
    </border>
    <border>
      <left style="medium">
        <color theme="0" tint="-4.9989318521683403E-2"/>
      </left>
      <right style="thin">
        <color theme="0"/>
      </right>
      <top style="thin">
        <color theme="4" tint="0.39997558519241921"/>
      </top>
      <bottom style="medium">
        <color theme="0" tint="-4.9989318521683403E-2"/>
      </bottom>
      <diagonal/>
    </border>
    <border>
      <left/>
      <right/>
      <top/>
      <bottom style="thin">
        <color rgb="FF0070C0"/>
      </bottom>
      <diagonal/>
    </border>
    <border>
      <left style="thick">
        <color theme="0" tint="-0.14993743705557422"/>
      </left>
      <right/>
      <top style="thick">
        <color theme="0" tint="-0.14993743705557422"/>
      </top>
      <bottom/>
      <diagonal/>
    </border>
  </borders>
  <cellStyleXfs count="34">
    <xf numFmtId="0" fontId="0" fillId="0" borderId="0"/>
    <xf numFmtId="0" fontId="15" fillId="8" borderId="1" applyNumberFormat="0" applyAlignment="0" applyProtection="0"/>
    <xf numFmtId="0" fontId="11" fillId="2" borderId="0" applyNumberFormat="0" applyBorder="0" applyAlignment="0" applyProtection="0"/>
    <xf numFmtId="0" fontId="10" fillId="3" borderId="0" applyNumberFormat="0" applyBorder="0" applyAlignment="0" applyProtection="0"/>
    <xf numFmtId="0" fontId="10" fillId="6" borderId="0" applyNumberFormat="0" applyBorder="0" applyAlignment="0" applyProtection="0"/>
    <xf numFmtId="0" fontId="12" fillId="4" borderId="0" applyNumberFormat="0" applyBorder="0" applyAlignment="0" applyProtection="0"/>
    <xf numFmtId="0" fontId="13" fillId="0" borderId="6" applyNumberFormat="0" applyFill="0" applyAlignment="0" applyProtection="0"/>
    <xf numFmtId="0" fontId="10" fillId="7" borderId="7" applyNumberFormat="0" applyAlignment="0" applyProtection="0"/>
    <xf numFmtId="9" fontId="14" fillId="0" borderId="0" applyFont="0" applyFill="0" applyBorder="0" applyAlignment="0" applyProtection="0"/>
    <xf numFmtId="0" fontId="42" fillId="0" borderId="0" applyNumberFormat="0" applyFill="0" applyBorder="0" applyAlignment="0" applyProtection="0"/>
    <xf numFmtId="0" fontId="45" fillId="32" borderId="26" applyNumberFormat="0" applyFont="0" applyProtection="0">
      <alignment horizontal="center"/>
    </xf>
    <xf numFmtId="0" fontId="45" fillId="8" borderId="27" applyNumberFormat="0" applyFont="0" applyProtection="0">
      <alignment horizontal="center"/>
    </xf>
    <xf numFmtId="0" fontId="37" fillId="0" borderId="0" applyNumberFormat="0" applyFill="0" applyBorder="0" applyAlignment="0" applyProtection="0"/>
    <xf numFmtId="0" fontId="14" fillId="0" borderId="23" applyNumberFormat="0" applyFont="0" applyFill="0" applyAlignment="0" applyProtection="0"/>
    <xf numFmtId="0" fontId="14" fillId="0" borderId="25" applyNumberFormat="0" applyFont="0" applyFill="0" applyAlignment="0" applyProtection="0"/>
    <xf numFmtId="0" fontId="14" fillId="0" borderId="24" applyNumberFormat="0" applyFont="0" applyFill="0" applyAlignment="0" applyProtection="0"/>
    <xf numFmtId="0" fontId="44" fillId="31" borderId="23" applyAlignment="0" applyProtection="0"/>
    <xf numFmtId="0" fontId="43" fillId="30" borderId="25" applyAlignment="0" applyProtection="0"/>
    <xf numFmtId="0" fontId="14" fillId="34" borderId="0" applyNumberFormat="0" applyFont="0" applyBorder="0" applyAlignment="0" applyProtection="0"/>
    <xf numFmtId="0" fontId="39" fillId="16" borderId="0" applyNumberFormat="0" applyFill="0" applyBorder="0" applyAlignment="0" applyProtection="0"/>
    <xf numFmtId="0" fontId="46" fillId="16" borderId="0" applyNumberFormat="0" applyFill="0" applyBorder="0" applyAlignment="0" applyProtection="0"/>
    <xf numFmtId="0" fontId="23" fillId="16" borderId="0" applyNumberFormat="0" applyFill="0" applyBorder="0" applyAlignment="0" applyProtection="0">
      <alignment vertical="top"/>
    </xf>
    <xf numFmtId="0" fontId="44" fillId="31" borderId="25" applyAlignment="0" applyProtection="0"/>
    <xf numFmtId="0" fontId="43" fillId="30" borderId="23" applyAlignment="0" applyProtection="0"/>
    <xf numFmtId="0" fontId="48" fillId="36" borderId="25" applyAlignment="0" applyProtection="0"/>
    <xf numFmtId="0" fontId="48" fillId="36" borderId="23" applyAlignment="0" applyProtection="0"/>
    <xf numFmtId="0" fontId="7" fillId="0" borderId="0"/>
    <xf numFmtId="0" fontId="49" fillId="37" borderId="29" applyNumberFormat="0" applyFont="0" applyAlignment="0" applyProtection="0"/>
    <xf numFmtId="0" fontId="5" fillId="0" borderId="0"/>
    <xf numFmtId="0" fontId="51" fillId="39" borderId="31" applyNumberFormat="0" applyAlignment="0" applyProtection="0"/>
    <xf numFmtId="0" fontId="3" fillId="0" borderId="0"/>
    <xf numFmtId="0" fontId="3" fillId="0" borderId="0"/>
    <xf numFmtId="0" fontId="52" fillId="0" borderId="32" applyNumberFormat="0" applyFill="0" applyAlignment="0" applyProtection="0"/>
    <xf numFmtId="9" fontId="14" fillId="0" borderId="0" applyFont="0" applyFill="0" applyBorder="0" applyAlignment="0" applyProtection="0"/>
  </cellStyleXfs>
  <cellXfs count="197">
    <xf numFmtId="0" fontId="0" fillId="0" borderId="0" xfId="0"/>
    <xf numFmtId="0" fontId="0" fillId="0" borderId="0" xfId="0" applyProtection="1">
      <protection locked="0"/>
    </xf>
    <xf numFmtId="0" fontId="0" fillId="0" borderId="0" xfId="0" applyAlignment="1" applyProtection="1">
      <alignment vertical="top"/>
      <protection locked="0"/>
    </xf>
    <xf numFmtId="0" fontId="0" fillId="0" borderId="0" xfId="0" applyAlignment="1" applyProtection="1">
      <alignment vertical="top" wrapText="1"/>
      <protection locked="0"/>
    </xf>
    <xf numFmtId="0" fontId="0" fillId="11" borderId="0" xfId="0" applyFill="1" applyProtection="1">
      <protection locked="0"/>
    </xf>
    <xf numFmtId="0" fontId="0" fillId="12" borderId="0" xfId="0" applyFill="1" applyProtection="1">
      <protection locked="0"/>
    </xf>
    <xf numFmtId="0" fontId="10" fillId="6" borderId="0" xfId="4" applyProtection="1">
      <protection locked="0"/>
    </xf>
    <xf numFmtId="0" fontId="12" fillId="4" borderId="0" xfId="5" applyProtection="1">
      <protection locked="0"/>
    </xf>
    <xf numFmtId="0" fontId="0" fillId="26" borderId="0" xfId="0" applyFill="1" applyProtection="1">
      <protection locked="0"/>
    </xf>
    <xf numFmtId="0" fontId="8" fillId="19" borderId="0" xfId="0" applyFont="1" applyFill="1" applyAlignment="1" applyProtection="1">
      <alignment horizontal="left" vertical="center" indent="1"/>
      <protection locked="0"/>
    </xf>
    <xf numFmtId="22" fontId="0" fillId="0" borderId="0" xfId="0" applyNumberFormat="1" applyProtection="1">
      <protection locked="0"/>
    </xf>
    <xf numFmtId="14" fontId="0" fillId="0" borderId="0" xfId="0" applyNumberFormat="1" applyProtection="1">
      <protection locked="0"/>
    </xf>
    <xf numFmtId="0" fontId="11" fillId="2" borderId="0" xfId="2" applyProtection="1">
      <protection locked="0"/>
    </xf>
    <xf numFmtId="0" fontId="10" fillId="3" borderId="1" xfId="3" applyBorder="1" applyAlignment="1" applyProtection="1">
      <alignment wrapText="1"/>
      <protection locked="0"/>
    </xf>
    <xf numFmtId="0" fontId="10" fillId="3" borderId="0" xfId="3" applyProtection="1">
      <protection locked="0"/>
    </xf>
    <xf numFmtId="0" fontId="10" fillId="6" borderId="0" xfId="4" applyAlignment="1" applyProtection="1">
      <alignment horizontal="center" vertical="top"/>
      <protection locked="0"/>
    </xf>
    <xf numFmtId="0" fontId="15" fillId="8" borderId="1" xfId="1" applyProtection="1">
      <protection locked="0"/>
    </xf>
    <xf numFmtId="0" fontId="10" fillId="3" borderId="0" xfId="3" applyAlignment="1" applyProtection="1">
      <alignment horizontal="right"/>
      <protection locked="0"/>
    </xf>
    <xf numFmtId="0" fontId="10" fillId="3" borderId="0" xfId="3" quotePrefix="1" applyAlignment="1" applyProtection="1">
      <alignment horizontal="right"/>
      <protection locked="0"/>
    </xf>
    <xf numFmtId="0" fontId="15" fillId="8" borderId="1" xfId="1" applyAlignment="1" applyProtection="1">
      <alignment horizontal="right"/>
      <protection locked="0"/>
    </xf>
    <xf numFmtId="0" fontId="15" fillId="8" borderId="28" xfId="1" quotePrefix="1" applyBorder="1" applyAlignment="1" applyProtection="1">
      <alignment horizontal="left"/>
      <protection locked="0"/>
    </xf>
    <xf numFmtId="0" fontId="15" fillId="8" borderId="0" xfId="1" applyBorder="1" applyAlignment="1" applyProtection="1">
      <alignment horizontal="left"/>
      <protection locked="0"/>
    </xf>
    <xf numFmtId="0" fontId="11" fillId="2" borderId="0" xfId="2" applyAlignment="1" applyProtection="1">
      <alignment vertical="top" wrapText="1"/>
      <protection locked="0"/>
    </xf>
    <xf numFmtId="0" fontId="15" fillId="8" borderId="1" xfId="1" applyAlignment="1" applyProtection="1">
      <alignment vertical="top"/>
      <protection locked="0"/>
    </xf>
    <xf numFmtId="0" fontId="9" fillId="5" borderId="22" xfId="0" applyFont="1" applyFill="1" applyBorder="1" applyProtection="1">
      <protection locked="0"/>
    </xf>
    <xf numFmtId="0" fontId="9" fillId="5" borderId="34" xfId="0" applyFont="1" applyFill="1" applyBorder="1" applyProtection="1">
      <protection locked="0"/>
    </xf>
    <xf numFmtId="0" fontId="9" fillId="5" borderId="33" xfId="0" applyFont="1" applyFill="1" applyBorder="1" applyProtection="1">
      <protection locked="0"/>
    </xf>
    <xf numFmtId="0" fontId="0" fillId="11" borderId="0" xfId="0" applyFill="1" applyAlignment="1" applyProtection="1">
      <alignment horizontal="center" vertical="top"/>
      <protection locked="0"/>
    </xf>
    <xf numFmtId="0" fontId="0" fillId="11" borderId="0" xfId="0" applyFill="1" applyAlignment="1" applyProtection="1">
      <alignment vertical="top"/>
      <protection locked="0"/>
    </xf>
    <xf numFmtId="0" fontId="0" fillId="12" borderId="0" xfId="0" applyFill="1" applyAlignment="1" applyProtection="1">
      <alignment horizontal="center" vertical="top"/>
      <protection locked="0"/>
    </xf>
    <xf numFmtId="0" fontId="0" fillId="12" borderId="0" xfId="0" applyFill="1" applyAlignment="1" applyProtection="1">
      <alignment vertical="top"/>
      <protection locked="0"/>
    </xf>
    <xf numFmtId="0" fontId="0" fillId="0" borderId="17" xfId="0" applyBorder="1" applyAlignment="1" applyProtection="1">
      <alignment vertical="top"/>
      <protection locked="0"/>
    </xf>
    <xf numFmtId="0" fontId="0" fillId="26" borderId="16" xfId="0" applyFill="1" applyBorder="1" applyAlignment="1" applyProtection="1">
      <alignment vertical="top" wrapText="1"/>
      <protection locked="0"/>
    </xf>
    <xf numFmtId="0" fontId="34" fillId="0" borderId="0" xfId="0" applyFont="1" applyAlignment="1" applyProtection="1">
      <alignment vertical="top" wrapText="1"/>
      <protection locked="0"/>
    </xf>
    <xf numFmtId="0" fontId="34" fillId="0" borderId="16" xfId="0" applyFont="1" applyBorder="1" applyAlignment="1" applyProtection="1">
      <alignment vertical="top" wrapText="1"/>
      <protection locked="0"/>
    </xf>
    <xf numFmtId="0" fontId="34" fillId="0" borderId="0" xfId="0" applyFont="1" applyAlignment="1" applyProtection="1">
      <alignment vertical="top"/>
      <protection locked="0"/>
    </xf>
    <xf numFmtId="0" fontId="0" fillId="0" borderId="0" xfId="0" applyAlignment="1" applyProtection="1">
      <alignment wrapText="1"/>
      <protection locked="0"/>
    </xf>
    <xf numFmtId="0" fontId="0" fillId="0" borderId="0" xfId="0" applyAlignment="1" applyProtection="1">
      <alignment vertical="center" wrapText="1"/>
      <protection locked="0"/>
    </xf>
    <xf numFmtId="0" fontId="34" fillId="0" borderId="0" xfId="0" quotePrefix="1" applyFont="1" applyProtection="1">
      <protection locked="0"/>
    </xf>
    <xf numFmtId="0" fontId="0" fillId="26" borderId="0" xfId="0" applyFill="1" applyAlignment="1" applyProtection="1">
      <alignment vertical="center" wrapText="1"/>
      <protection locked="0"/>
    </xf>
    <xf numFmtId="0" fontId="0" fillId="0" borderId="0" xfId="0" applyAlignment="1" applyProtection="1">
      <alignment horizontal="center" vertical="top"/>
      <protection locked="0"/>
    </xf>
    <xf numFmtId="0" fontId="2" fillId="38" borderId="0" xfId="0" applyFont="1" applyFill="1" applyAlignment="1" applyProtection="1">
      <alignment horizontal="center"/>
      <protection locked="0"/>
    </xf>
    <xf numFmtId="0" fontId="2" fillId="0" borderId="30" xfId="0" applyFont="1" applyBorder="1" applyAlignment="1" applyProtection="1">
      <alignment horizontal="center"/>
      <protection locked="0"/>
    </xf>
    <xf numFmtId="0" fontId="4" fillId="38" borderId="0" xfId="0" applyFont="1" applyFill="1" applyAlignment="1" applyProtection="1">
      <alignment horizontal="center"/>
      <protection locked="0"/>
    </xf>
    <xf numFmtId="0" fontId="4" fillId="0" borderId="0" xfId="0" applyFont="1" applyAlignment="1" applyProtection="1">
      <alignment horizontal="center"/>
      <protection locked="0"/>
    </xf>
    <xf numFmtId="0" fontId="6" fillId="0" borderId="0" xfId="0" applyFont="1" applyAlignment="1" applyProtection="1">
      <alignment horizontal="center"/>
      <protection locked="0"/>
    </xf>
    <xf numFmtId="0" fontId="0" fillId="11" borderId="0" xfId="0" applyFill="1" applyProtection="1"/>
    <xf numFmtId="0" fontId="0" fillId="12" borderId="0" xfId="0" applyFill="1" applyProtection="1"/>
    <xf numFmtId="0" fontId="0" fillId="0" borderId="0" xfId="0" applyProtection="1"/>
    <xf numFmtId="0" fontId="16" fillId="9" borderId="8" xfId="0" applyFont="1" applyFill="1" applyBorder="1" applyAlignment="1" applyProtection="1">
      <alignment vertical="center"/>
    </xf>
    <xf numFmtId="0" fontId="16" fillId="10" borderId="0" xfId="0" applyFont="1" applyFill="1" applyProtection="1"/>
    <xf numFmtId="0" fontId="32" fillId="0" borderId="0" xfId="0" applyFont="1" applyAlignment="1" applyProtection="1">
      <alignment vertical="top"/>
    </xf>
    <xf numFmtId="0" fontId="13" fillId="0" borderId="6" xfId="6" applyProtection="1"/>
    <xf numFmtId="0" fontId="13" fillId="0" borderId="6" xfId="6" applyAlignment="1" applyProtection="1">
      <alignment horizontal="left"/>
    </xf>
    <xf numFmtId="0" fontId="0" fillId="0" borderId="0" xfId="0" applyAlignment="1" applyProtection="1">
      <alignment vertical="top"/>
    </xf>
    <xf numFmtId="0" fontId="42" fillId="0" borderId="0" xfId="9" applyProtection="1"/>
    <xf numFmtId="0" fontId="0" fillId="0" borderId="0" xfId="0" applyAlignment="1" applyProtection="1">
      <alignment vertical="center"/>
    </xf>
    <xf numFmtId="0" fontId="34" fillId="0" borderId="0" xfId="0" applyFont="1" applyProtection="1"/>
    <xf numFmtId="0" fontId="37" fillId="0" borderId="0" xfId="0" applyFont="1" applyProtection="1"/>
    <xf numFmtId="0" fontId="38" fillId="0" borderId="0" xfId="0" applyFont="1" applyAlignment="1" applyProtection="1">
      <alignment horizontal="left" vertical="top"/>
    </xf>
    <xf numFmtId="0" fontId="38" fillId="0" borderId="0" xfId="0" applyFont="1" applyAlignment="1" applyProtection="1">
      <alignment horizontal="left"/>
    </xf>
    <xf numFmtId="0" fontId="0" fillId="0" borderId="0" xfId="0" applyAlignment="1" applyProtection="1">
      <alignment horizontal="left"/>
    </xf>
    <xf numFmtId="0" fontId="0" fillId="0" borderId="0" xfId="0" applyAlignment="1" applyProtection="1">
      <alignment horizontal="left" indent="2"/>
    </xf>
    <xf numFmtId="0" fontId="37" fillId="0" borderId="0" xfId="0" applyFont="1" applyAlignment="1" applyProtection="1">
      <alignment vertical="top"/>
    </xf>
    <xf numFmtId="0" fontId="42" fillId="0" borderId="0" xfId="9" applyAlignment="1" applyProtection="1">
      <alignment horizontal="left" vertical="top"/>
    </xf>
    <xf numFmtId="0" fontId="23" fillId="0" borderId="0" xfId="0" applyFont="1" applyProtection="1"/>
    <xf numFmtId="0" fontId="0" fillId="26" borderId="0" xfId="0" applyFill="1" applyProtection="1"/>
    <xf numFmtId="0" fontId="9" fillId="5" borderId="21" xfId="0" applyFont="1" applyFill="1" applyBorder="1" applyProtection="1"/>
    <xf numFmtId="1" fontId="22" fillId="35" borderId="9" xfId="8" applyNumberFormat="1" applyFont="1" applyFill="1" applyBorder="1" applyAlignment="1" applyProtection="1">
      <alignment horizontal="center" vertical="center"/>
      <protection locked="0"/>
    </xf>
    <xf numFmtId="0" fontId="0" fillId="0" borderId="0" xfId="0" applyAlignment="1" applyProtection="1">
      <alignment horizontal="center"/>
    </xf>
    <xf numFmtId="0" fontId="50" fillId="26" borderId="0" xfId="0" applyFont="1" applyFill="1" applyProtection="1"/>
    <xf numFmtId="22" fontId="0" fillId="0" borderId="0" xfId="0" applyNumberFormat="1" applyProtection="1"/>
    <xf numFmtId="0" fontId="7" fillId="0" borderId="0" xfId="26" applyProtection="1"/>
    <xf numFmtId="22" fontId="0" fillId="0" borderId="0" xfId="0" applyNumberFormat="1" applyAlignment="1" applyProtection="1">
      <alignment horizontal="center"/>
    </xf>
    <xf numFmtId="0" fontId="0" fillId="11" borderId="0" xfId="0" applyFill="1" applyAlignment="1" applyProtection="1">
      <alignment horizontal="center"/>
    </xf>
    <xf numFmtId="0" fontId="0" fillId="12" borderId="0" xfId="0" applyFill="1" applyAlignment="1" applyProtection="1">
      <alignment horizontal="center"/>
    </xf>
    <xf numFmtId="0" fontId="16" fillId="29" borderId="0" xfId="0" applyFont="1" applyFill="1" applyProtection="1"/>
    <xf numFmtId="0" fontId="15" fillId="11" borderId="0" xfId="1" applyFill="1" applyBorder="1" applyAlignment="1" applyProtection="1">
      <alignment horizontal="left" vertical="center" indent="1"/>
    </xf>
    <xf numFmtId="0" fontId="16" fillId="27" borderId="0" xfId="0" applyFont="1" applyFill="1" applyProtection="1"/>
    <xf numFmtId="0" fontId="16" fillId="29" borderId="0" xfId="0" applyFont="1" applyFill="1" applyAlignment="1" applyProtection="1">
      <alignment horizontal="right" vertical="center"/>
    </xf>
    <xf numFmtId="0" fontId="0" fillId="11" borderId="0" xfId="0" applyFill="1" applyAlignment="1" applyProtection="1">
      <alignment horizontal="left" vertical="center" indent="1"/>
    </xf>
    <xf numFmtId="0" fontId="25" fillId="13" borderId="0" xfId="0" applyFont="1" applyFill="1" applyProtection="1"/>
    <xf numFmtId="0" fontId="39" fillId="13" borderId="0" xfId="19" applyFill="1" applyProtection="1"/>
    <xf numFmtId="0" fontId="0" fillId="16" borderId="0" xfId="0" applyFill="1" applyProtection="1"/>
    <xf numFmtId="0" fontId="39" fillId="16" borderId="0" xfId="19" applyProtection="1"/>
    <xf numFmtId="0" fontId="13" fillId="16" borderId="0" xfId="6" applyFill="1" applyBorder="1" applyProtection="1"/>
    <xf numFmtId="0" fontId="20" fillId="16" borderId="0" xfId="0" applyFont="1" applyFill="1" applyAlignment="1" applyProtection="1">
      <alignment horizontal="left" indent="1"/>
    </xf>
    <xf numFmtId="0" fontId="13" fillId="13" borderId="0" xfId="6" applyFill="1" applyBorder="1" applyProtection="1"/>
    <xf numFmtId="0" fontId="30" fillId="13" borderId="0" xfId="6" applyFont="1" applyFill="1" applyBorder="1" applyAlignment="1" applyProtection="1">
      <alignment horizontal="left"/>
    </xf>
    <xf numFmtId="0" fontId="0" fillId="13" borderId="0" xfId="0" applyFill="1" applyProtection="1"/>
    <xf numFmtId="0" fontId="0" fillId="13" borderId="10" xfId="0" applyFill="1" applyBorder="1" applyProtection="1"/>
    <xf numFmtId="0" fontId="0" fillId="13" borderId="11" xfId="0" applyFill="1" applyBorder="1" applyProtection="1"/>
    <xf numFmtId="0" fontId="33" fillId="16" borderId="0" xfId="5" applyFont="1" applyFill="1" applyAlignment="1" applyProtection="1">
      <alignment horizontal="right" indent="1"/>
    </xf>
    <xf numFmtId="0" fontId="33" fillId="16" borderId="0" xfId="5" applyFont="1" applyFill="1" applyAlignment="1" applyProtection="1">
      <alignment horizontal="left"/>
    </xf>
    <xf numFmtId="0" fontId="11" fillId="16" borderId="0" xfId="0" applyFont="1" applyFill="1" applyAlignment="1" applyProtection="1">
      <alignment vertical="center"/>
    </xf>
    <xf numFmtId="0" fontId="0" fillId="16" borderId="0" xfId="0" applyFill="1" applyAlignment="1" applyProtection="1">
      <alignment horizontal="left" indent="1"/>
    </xf>
    <xf numFmtId="0" fontId="31" fillId="25" borderId="10" xfId="0" applyFont="1" applyFill="1" applyBorder="1" applyAlignment="1" applyProtection="1">
      <alignment horizontal="left" vertical="center" indent="1"/>
    </xf>
    <xf numFmtId="0" fontId="31" fillId="25" borderId="10" xfId="0" applyFont="1" applyFill="1" applyBorder="1" applyAlignment="1" applyProtection="1">
      <alignment horizontal="center" vertical="center"/>
    </xf>
    <xf numFmtId="0" fontId="0" fillId="16" borderId="0" xfId="0" applyFill="1" applyAlignment="1" applyProtection="1">
      <alignment horizontal="right"/>
    </xf>
    <xf numFmtId="0" fontId="10" fillId="23" borderId="0" xfId="0" applyFont="1" applyFill="1" applyAlignment="1" applyProtection="1">
      <alignment horizontal="left" vertical="center" indent="1"/>
    </xf>
    <xf numFmtId="0" fontId="10" fillId="23" borderId="15" xfId="0" applyFont="1" applyFill="1" applyBorder="1" applyAlignment="1" applyProtection="1">
      <alignment horizontal="left" vertical="center" indent="1"/>
    </xf>
    <xf numFmtId="1" fontId="33" fillId="16" borderId="0" xfId="0" applyNumberFormat="1" applyFont="1" applyFill="1" applyAlignment="1" applyProtection="1">
      <alignment horizontal="center" vertical="center"/>
    </xf>
    <xf numFmtId="0" fontId="52" fillId="13" borderId="32" xfId="32" applyFill="1" applyProtection="1"/>
    <xf numFmtId="0" fontId="31" fillId="11" borderId="0" xfId="0" applyFont="1" applyFill="1" applyAlignment="1" applyProtection="1">
      <alignment horizontal="left" vertical="center" indent="1"/>
    </xf>
    <xf numFmtId="0" fontId="11" fillId="16" borderId="0" xfId="0" applyFont="1" applyFill="1" applyProtection="1"/>
    <xf numFmtId="166" fontId="9" fillId="15" borderId="13" xfId="0" applyNumberFormat="1" applyFont="1" applyFill="1" applyBorder="1" applyAlignment="1" applyProtection="1">
      <alignment horizontal="left" vertical="center" indent="1"/>
    </xf>
    <xf numFmtId="167" fontId="27" fillId="22" borderId="13" xfId="0" applyNumberFormat="1" applyFont="1" applyFill="1" applyBorder="1" applyAlignment="1" applyProtection="1">
      <alignment horizontal="left" indent="1"/>
    </xf>
    <xf numFmtId="9" fontId="33" fillId="16" borderId="0" xfId="0" applyNumberFormat="1" applyFont="1" applyFill="1" applyAlignment="1" applyProtection="1">
      <alignment horizontal="center" vertical="center"/>
    </xf>
    <xf numFmtId="0" fontId="0" fillId="13" borderId="0" xfId="0" applyFill="1" applyAlignment="1" applyProtection="1">
      <alignment wrapText="1"/>
    </xf>
    <xf numFmtId="0" fontId="24" fillId="13" borderId="10" xfId="0" applyFont="1" applyFill="1" applyBorder="1" applyAlignment="1" applyProtection="1">
      <alignment horizontal="right" vertical="center" indent="1"/>
    </xf>
    <xf numFmtId="0" fontId="21" fillId="13" borderId="0" xfId="0" applyFont="1" applyFill="1" applyAlignment="1" applyProtection="1">
      <alignment horizontal="left" vertical="center" indent="1"/>
    </xf>
    <xf numFmtId="165" fontId="27" fillId="20" borderId="14" xfId="0" applyNumberFormat="1" applyFont="1" applyFill="1" applyBorder="1" applyAlignment="1" applyProtection="1">
      <alignment horizontal="left" vertical="center" indent="1"/>
    </xf>
    <xf numFmtId="164" fontId="10" fillId="21" borderId="14" xfId="0" applyNumberFormat="1" applyFont="1" applyFill="1" applyBorder="1" applyAlignment="1" applyProtection="1">
      <alignment horizontal="left" vertical="center" indent="1"/>
    </xf>
    <xf numFmtId="0" fontId="31" fillId="24" borderId="5" xfId="0" applyFont="1" applyFill="1" applyBorder="1" applyAlignment="1" applyProtection="1">
      <alignment horizontal="left" indent="1"/>
    </xf>
    <xf numFmtId="0" fontId="54" fillId="14" borderId="0" xfId="0" applyFont="1" applyFill="1" applyAlignment="1" applyProtection="1">
      <alignment vertical="center"/>
    </xf>
    <xf numFmtId="0" fontId="10" fillId="16" borderId="0" xfId="0" applyFont="1" applyFill="1" applyProtection="1"/>
    <xf numFmtId="0" fontId="33" fillId="16" borderId="0" xfId="5" applyFont="1" applyFill="1" applyAlignment="1" applyProtection="1">
      <alignment horizontal="right" vertical="center"/>
    </xf>
    <xf numFmtId="9" fontId="35" fillId="16" borderId="0" xfId="0" applyNumberFormat="1" applyFont="1" applyFill="1" applyAlignment="1" applyProtection="1">
      <alignment horizontal="center" vertical="center"/>
    </xf>
    <xf numFmtId="0" fontId="19" fillId="13" borderId="0" xfId="0" applyFont="1" applyFill="1" applyAlignment="1" applyProtection="1">
      <alignment horizontal="right" vertical="center" indent="1"/>
    </xf>
    <xf numFmtId="0" fontId="10" fillId="16" borderId="0" xfId="5" applyFont="1" applyFill="1" applyAlignment="1" applyProtection="1">
      <alignment horizontal="left" indent="1"/>
    </xf>
    <xf numFmtId="0" fontId="12" fillId="16" borderId="0" xfId="5" applyFill="1" applyAlignment="1" applyProtection="1">
      <alignment horizontal="left" indent="1"/>
    </xf>
    <xf numFmtId="0" fontId="0" fillId="13" borderId="0" xfId="0" applyFill="1" applyAlignment="1" applyProtection="1">
      <alignment horizontal="right" vertical="center" indent="1"/>
    </xf>
    <xf numFmtId="0" fontId="46" fillId="16" borderId="0" xfId="20" applyProtection="1"/>
    <xf numFmtId="0" fontId="26" fillId="16" borderId="0" xfId="6" applyFont="1" applyFill="1" applyBorder="1" applyProtection="1"/>
    <xf numFmtId="0" fontId="10" fillId="14" borderId="12" xfId="0" applyFont="1" applyFill="1" applyBorder="1" applyAlignment="1" applyProtection="1">
      <alignment horizontal="left" vertical="center" indent="1"/>
    </xf>
    <xf numFmtId="9" fontId="28" fillId="17" borderId="19" xfId="8" applyFont="1" applyFill="1" applyBorder="1" applyAlignment="1" applyProtection="1">
      <alignment horizontal="center" vertical="center"/>
    </xf>
    <xf numFmtId="0" fontId="9" fillId="28" borderId="12" xfId="0" applyFont="1" applyFill="1" applyBorder="1" applyAlignment="1" applyProtection="1">
      <alignment horizontal="left" vertical="center" indent="1"/>
    </xf>
    <xf numFmtId="0" fontId="9" fillId="16" borderId="0" xfId="0" applyFont="1" applyFill="1" applyAlignment="1" applyProtection="1">
      <alignment horizontal="left" vertical="center" indent="1"/>
    </xf>
    <xf numFmtId="0" fontId="23" fillId="16" borderId="0" xfId="21" applyProtection="1">
      <alignment vertical="top"/>
    </xf>
    <xf numFmtId="9" fontId="22" fillId="17" borderId="9" xfId="8" applyFont="1" applyFill="1" applyBorder="1" applyAlignment="1" applyProtection="1">
      <alignment horizontal="center" vertical="center"/>
    </xf>
    <xf numFmtId="0" fontId="0" fillId="13" borderId="0" xfId="0" applyFill="1" applyAlignment="1" applyProtection="1">
      <alignment horizontal="left" vertical="top" wrapText="1"/>
    </xf>
    <xf numFmtId="0" fontId="37" fillId="13" borderId="10" xfId="0" applyFont="1" applyFill="1" applyBorder="1" applyProtection="1"/>
    <xf numFmtId="0" fontId="37" fillId="13" borderId="0" xfId="0" applyFont="1" applyFill="1" applyProtection="1"/>
    <xf numFmtId="0" fontId="37" fillId="16" borderId="0" xfId="0" applyFont="1" applyFill="1" applyProtection="1"/>
    <xf numFmtId="0" fontId="9" fillId="13" borderId="0" xfId="0" applyFont="1" applyFill="1" applyProtection="1"/>
    <xf numFmtId="0" fontId="37" fillId="13" borderId="0" xfId="0" applyFont="1" applyFill="1" applyAlignment="1" applyProtection="1">
      <alignment horizontal="left" vertical="top" wrapText="1"/>
    </xf>
    <xf numFmtId="0" fontId="23" fillId="16" borderId="0" xfId="0" applyFont="1" applyFill="1" applyAlignment="1" applyProtection="1">
      <alignment vertical="top"/>
    </xf>
    <xf numFmtId="0" fontId="10" fillId="13" borderId="0" xfId="0" applyFont="1" applyFill="1" applyProtection="1"/>
    <xf numFmtId="0" fontId="0" fillId="16" borderId="9" xfId="0" applyFill="1" applyBorder="1" applyProtection="1"/>
    <xf numFmtId="9" fontId="56" fillId="16" borderId="0" xfId="0" applyNumberFormat="1" applyFont="1" applyFill="1" applyProtection="1"/>
    <xf numFmtId="0" fontId="0" fillId="33" borderId="0" xfId="0" applyFill="1" applyProtection="1"/>
    <xf numFmtId="0" fontId="13" fillId="0" borderId="35" xfId="6" applyBorder="1" applyProtection="1"/>
    <xf numFmtId="0" fontId="0" fillId="0" borderId="35" xfId="0" applyBorder="1" applyProtection="1"/>
    <xf numFmtId="0" fontId="0" fillId="12" borderId="0" xfId="0" applyFill="1" applyAlignment="1" applyProtection="1">
      <alignment horizontal="right"/>
    </xf>
    <xf numFmtId="1" fontId="0" fillId="12" borderId="0" xfId="0" applyNumberFormat="1" applyFill="1" applyAlignment="1" applyProtection="1">
      <alignment horizontal="left"/>
    </xf>
    <xf numFmtId="9" fontId="0" fillId="12" borderId="0" xfId="8" applyFont="1" applyFill="1" applyAlignment="1" applyProtection="1">
      <alignment horizontal="left"/>
    </xf>
    <xf numFmtId="0" fontId="0" fillId="0" borderId="0" xfId="0" applyAlignment="1" applyProtection="1">
      <alignment horizontal="right"/>
    </xf>
    <xf numFmtId="1" fontId="0" fillId="0" borderId="0" xfId="8" applyNumberFormat="1" applyFont="1" applyAlignment="1" applyProtection="1">
      <alignment horizontal="left"/>
    </xf>
    <xf numFmtId="2" fontId="0" fillId="0" borderId="0" xfId="0" applyNumberFormat="1" applyAlignment="1" applyProtection="1">
      <alignment horizontal="right"/>
    </xf>
    <xf numFmtId="9" fontId="0" fillId="0" borderId="0" xfId="8" applyFont="1" applyAlignment="1" applyProtection="1">
      <alignment horizontal="left"/>
    </xf>
    <xf numFmtId="9" fontId="0" fillId="0" borderId="0" xfId="0" applyNumberFormat="1" applyProtection="1"/>
    <xf numFmtId="0" fontId="0" fillId="0" borderId="0" xfId="0" applyBorder="1" applyAlignment="1" applyProtection="1">
      <alignment vertical="top"/>
      <protection locked="0"/>
    </xf>
    <xf numFmtId="0" fontId="0" fillId="0" borderId="0" xfId="0" applyFill="1" applyAlignment="1" applyProtection="1">
      <alignment vertical="top"/>
      <protection locked="0"/>
    </xf>
    <xf numFmtId="0" fontId="0" fillId="0" borderId="0" xfId="0" quotePrefix="1"/>
    <xf numFmtId="0" fontId="0" fillId="11" borderId="0" xfId="0" applyFill="1"/>
    <xf numFmtId="0" fontId="0" fillId="12" borderId="0" xfId="0" applyFill="1"/>
    <xf numFmtId="0" fontId="0" fillId="33" borderId="0" xfId="0" applyFill="1"/>
    <xf numFmtId="0" fontId="12" fillId="4" borderId="0" xfId="5" quotePrefix="1"/>
    <xf numFmtId="0" fontId="12" fillId="4" borderId="0" xfId="5"/>
    <xf numFmtId="0" fontId="10" fillId="6" borderId="0" xfId="4"/>
    <xf numFmtId="1" fontId="0" fillId="0" borderId="0" xfId="0" applyNumberFormat="1"/>
    <xf numFmtId="9" fontId="0" fillId="0" borderId="0" xfId="33" applyFont="1"/>
    <xf numFmtId="0" fontId="38" fillId="0" borderId="0" xfId="0" applyFont="1" applyAlignment="1" applyProtection="1">
      <alignment horizontal="left" vertical="top" wrapText="1"/>
    </xf>
    <xf numFmtId="0" fontId="10" fillId="18" borderId="9" xfId="0" applyFont="1" applyFill="1" applyBorder="1" applyAlignment="1" applyProtection="1">
      <alignment horizontal="left" vertical="center" indent="1"/>
    </xf>
    <xf numFmtId="0" fontId="1" fillId="38" borderId="0" xfId="0" applyFont="1" applyFill="1" applyProtection="1">
      <protection locked="0"/>
    </xf>
    <xf numFmtId="22" fontId="1" fillId="38" borderId="0" xfId="0" applyNumberFormat="1" applyFont="1" applyFill="1" applyProtection="1">
      <protection locked="0"/>
    </xf>
    <xf numFmtId="9" fontId="1" fillId="38" borderId="0" xfId="33" applyNumberFormat="1" applyFont="1" applyFill="1" applyProtection="1">
      <protection locked="0"/>
    </xf>
    <xf numFmtId="0" fontId="1" fillId="38" borderId="0" xfId="0" applyFont="1" applyFill="1" applyAlignment="1" applyProtection="1">
      <alignment horizontal="center"/>
      <protection locked="0"/>
    </xf>
    <xf numFmtId="0" fontId="1" fillId="0" borderId="0" xfId="0" applyFont="1" applyProtection="1">
      <protection locked="0"/>
    </xf>
    <xf numFmtId="22" fontId="1" fillId="0" borderId="0" xfId="0" applyNumberFormat="1" applyFont="1" applyProtection="1">
      <protection locked="0"/>
    </xf>
    <xf numFmtId="9" fontId="1" fillId="0" borderId="0" xfId="33" applyNumberFormat="1" applyFont="1" applyProtection="1">
      <protection locked="0"/>
    </xf>
    <xf numFmtId="0" fontId="1" fillId="0" borderId="0" xfId="0" applyFont="1" applyAlignment="1" applyProtection="1">
      <alignment horizontal="center"/>
      <protection locked="0"/>
    </xf>
    <xf numFmtId="0" fontId="1" fillId="0" borderId="30" xfId="0" applyFont="1" applyBorder="1" applyProtection="1">
      <protection locked="0"/>
    </xf>
    <xf numFmtId="22" fontId="1" fillId="0" borderId="30" xfId="0" applyNumberFormat="1" applyFont="1" applyBorder="1" applyProtection="1">
      <protection locked="0"/>
    </xf>
    <xf numFmtId="9" fontId="1" fillId="0" borderId="30" xfId="33" applyNumberFormat="1" applyFont="1" applyBorder="1" applyProtection="1">
      <protection locked="0"/>
    </xf>
    <xf numFmtId="0" fontId="1" fillId="0" borderId="30" xfId="0" applyFont="1" applyBorder="1" applyAlignment="1" applyProtection="1">
      <alignment horizontal="center"/>
      <protection locked="0"/>
    </xf>
    <xf numFmtId="0" fontId="1" fillId="38" borderId="30" xfId="0" applyFont="1" applyFill="1" applyBorder="1" applyProtection="1">
      <protection locked="0"/>
    </xf>
    <xf numFmtId="22" fontId="1" fillId="38" borderId="30" xfId="0" applyNumberFormat="1" applyFont="1" applyFill="1" applyBorder="1" applyProtection="1">
      <protection locked="0"/>
    </xf>
    <xf numFmtId="9" fontId="1" fillId="38" borderId="30" xfId="33" applyNumberFormat="1" applyFont="1" applyFill="1" applyBorder="1" applyProtection="1">
      <protection locked="0"/>
    </xf>
    <xf numFmtId="0" fontId="1" fillId="38" borderId="30" xfId="0" applyFont="1" applyFill="1" applyBorder="1" applyAlignment="1" applyProtection="1">
      <alignment horizontal="center"/>
      <protection locked="0"/>
    </xf>
    <xf numFmtId="0" fontId="0" fillId="0" borderId="36" xfId="0" applyBorder="1"/>
    <xf numFmtId="0" fontId="42" fillId="0" borderId="0" xfId="9" applyAlignment="1" applyProtection="1">
      <alignment horizontal="left" vertical="top" wrapText="1"/>
    </xf>
    <xf numFmtId="0" fontId="38" fillId="0" borderId="0" xfId="0" applyFont="1" applyAlignment="1" applyProtection="1">
      <alignment horizontal="left" wrapText="1"/>
    </xf>
    <xf numFmtId="0" fontId="38" fillId="0" borderId="0" xfId="0" applyFont="1" applyAlignment="1" applyProtection="1">
      <alignment horizontal="left" vertical="top" wrapText="1"/>
    </xf>
    <xf numFmtId="0" fontId="15" fillId="19" borderId="0" xfId="1" applyFill="1" applyBorder="1" applyAlignment="1" applyProtection="1">
      <alignment horizontal="left" vertical="center" indent="1" shrinkToFit="1"/>
      <protection locked="0"/>
    </xf>
    <xf numFmtId="0" fontId="10" fillId="18" borderId="9" xfId="0" applyFont="1" applyFill="1" applyBorder="1" applyAlignment="1" applyProtection="1">
      <alignment horizontal="left" vertical="center" indent="1"/>
    </xf>
    <xf numFmtId="9" fontId="28" fillId="17" borderId="20" xfId="8" applyFont="1" applyFill="1" applyBorder="1" applyAlignment="1" applyProtection="1">
      <alignment horizontal="center" vertical="center"/>
    </xf>
    <xf numFmtId="9" fontId="28" fillId="17" borderId="18" xfId="8" applyFont="1" applyFill="1" applyBorder="1" applyAlignment="1" applyProtection="1">
      <alignment horizontal="center" vertical="center"/>
    </xf>
    <xf numFmtId="0" fontId="10" fillId="14" borderId="18" xfId="0" applyFont="1" applyFill="1" applyBorder="1" applyAlignment="1" applyProtection="1">
      <alignment horizontal="left" vertical="center" indent="1"/>
    </xf>
    <xf numFmtId="0" fontId="11" fillId="2" borderId="0" xfId="2" applyAlignment="1" applyProtection="1">
      <alignment horizontal="center"/>
      <protection locked="0"/>
    </xf>
    <xf numFmtId="0" fontId="15" fillId="8" borderId="1" xfId="1" applyAlignment="1" applyProtection="1">
      <alignment horizontal="left"/>
      <protection locked="0"/>
    </xf>
    <xf numFmtId="0" fontId="15" fillId="8" borderId="2" xfId="1" applyBorder="1" applyAlignment="1" applyProtection="1">
      <alignment horizontal="left"/>
      <protection locked="0"/>
    </xf>
    <xf numFmtId="0" fontId="15" fillId="8" borderId="3" xfId="1" applyBorder="1" applyAlignment="1" applyProtection="1">
      <alignment horizontal="left"/>
      <protection locked="0"/>
    </xf>
    <xf numFmtId="0" fontId="15" fillId="8" borderId="4" xfId="1" applyBorder="1" applyAlignment="1" applyProtection="1">
      <alignment horizontal="left"/>
      <protection locked="0"/>
    </xf>
    <xf numFmtId="0" fontId="12" fillId="4" borderId="1" xfId="5" applyBorder="1" applyAlignment="1" applyProtection="1">
      <alignment horizontal="left"/>
      <protection locked="0"/>
    </xf>
    <xf numFmtId="0" fontId="9" fillId="5" borderId="30" xfId="0" applyFont="1" applyFill="1" applyBorder="1" applyProtection="1">
      <protection locked="0"/>
    </xf>
    <xf numFmtId="0" fontId="0" fillId="0" borderId="0" xfId="0" applyFill="1" applyAlignment="1" applyProtection="1">
      <alignment horizontal="right" vertical="top"/>
    </xf>
  </cellXfs>
  <cellStyles count="34">
    <cellStyle name="20% - Accent1" xfId="5" builtinId="30" customBuiltin="1"/>
    <cellStyle name="40% - Accent1" xfId="2" builtinId="31" customBuiltin="1"/>
    <cellStyle name="60% - Accent1" xfId="3" builtinId="32"/>
    <cellStyle name="60% - Accent2" xfId="7" builtinId="36" customBuiltin="1"/>
    <cellStyle name="Accent1" xfId="4" builtinId="29" customBuiltin="1"/>
    <cellStyle name="attribute" xfId="12" xr:uid="{00000000-0005-0000-0000-000005000000}"/>
    <cellStyle name="bar01" xfId="15" xr:uid="{00000000-0005-0000-0000-000006000000}"/>
    <cellStyle name="ec3-percent" xfId="33" xr:uid="{00000000-0005-0000-0000-000007000000}"/>
    <cellStyle name="Heading" xfId="19" xr:uid="{00000000-0005-0000-0000-000008000000}"/>
    <cellStyle name="Heading 1" xfId="6" builtinId="16"/>
    <cellStyle name="Heading 2" xfId="32" builtinId="17"/>
    <cellStyle name="Hyperlink" xfId="9" builtinId="8"/>
    <cellStyle name="Input" xfId="1" builtinId="20" customBuiltin="1"/>
    <cellStyle name="Input 2" xfId="29" xr:uid="{00000000-0005-0000-0000-00000D000000}"/>
    <cellStyle name="model" xfId="18" xr:uid="{00000000-0005-0000-0000-00000E000000}"/>
    <cellStyle name="Normal" xfId="0" builtinId="0" customBuiltin="1"/>
    <cellStyle name="Normal 2" xfId="26" xr:uid="{00000000-0005-0000-0000-000010000000}"/>
    <cellStyle name="Normal 2 2" xfId="30" xr:uid="{00000000-0005-0000-0000-000011000000}"/>
    <cellStyle name="Normal 3" xfId="28" xr:uid="{00000000-0005-0000-0000-000012000000}"/>
    <cellStyle name="Normal 3 2" xfId="31" xr:uid="{00000000-0005-0000-0000-000013000000}"/>
    <cellStyle name="Percent" xfId="8" builtinId="5"/>
    <cellStyle name="recommendation" xfId="27" xr:uid="{00000000-0005-0000-0000-000015000000}"/>
    <cellStyle name="split0" xfId="13" xr:uid="{00000000-0005-0000-0000-000016000000}"/>
    <cellStyle name="split0ambivalent" xfId="16" xr:uid="{00000000-0005-0000-0000-000017000000}"/>
    <cellStyle name="split0bad" xfId="25" xr:uid="{00000000-0005-0000-0000-000018000000}"/>
    <cellStyle name="split0good" xfId="23" xr:uid="{00000000-0005-0000-0000-000019000000}"/>
    <cellStyle name="split1" xfId="14" xr:uid="{00000000-0005-0000-0000-00001A000000}"/>
    <cellStyle name="split1ambivalent" xfId="22" xr:uid="{00000000-0005-0000-0000-00001B000000}"/>
    <cellStyle name="split1bad" xfId="24" xr:uid="{00000000-0005-0000-0000-00001C000000}"/>
    <cellStyle name="split1good" xfId="17" xr:uid="{00000000-0005-0000-0000-00001D000000}"/>
    <cellStyle name="Sub Heading" xfId="20" xr:uid="{00000000-0005-0000-0000-00001E000000}"/>
    <cellStyle name="Sub-sub-heading" xfId="21" xr:uid="{00000000-0005-0000-0000-00001F000000}"/>
    <cellStyle name="value0" xfId="11" xr:uid="{00000000-0005-0000-0000-000020000000}"/>
    <cellStyle name="value1" xfId="10" xr:uid="{00000000-0005-0000-0000-000021000000}"/>
  </cellStyles>
  <dxfs count="54">
    <dxf>
      <fill>
        <patternFill patternType="none">
          <fgColor indexed="64"/>
          <bgColor indexed="65"/>
        </patternFill>
      </fill>
      <alignment horizontal="right" vertical="top"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bottom" textRotation="0" wrapText="0" relativeIndent="1" justifyLastLine="0" shrinkToFit="0" readingOrder="0"/>
      <border diagonalUp="0" diagonalDown="0" outline="0">
        <left style="thin">
          <color theme="0"/>
        </left>
        <right/>
        <top/>
        <bottom style="thick">
          <color theme="0"/>
        </bottom>
      </border>
      <protection locked="1" hidden="0"/>
    </dxf>
    <dxf>
      <font>
        <b/>
        <i val="0"/>
      </font>
    </dxf>
    <dxf>
      <font>
        <b/>
        <i val="0"/>
        <color theme="0"/>
      </font>
      <fill>
        <patternFill>
          <fgColor indexed="64"/>
          <bgColor theme="9" tint="-0.24994659260841701"/>
        </patternFill>
      </fill>
    </dxf>
    <dxf>
      <font>
        <b/>
        <i val="0"/>
      </font>
    </dxf>
    <dxf>
      <font>
        <b/>
        <i val="0"/>
      </font>
    </dxf>
    <dxf>
      <font>
        <b/>
        <i val="0"/>
      </font>
    </dxf>
    <dxf>
      <font>
        <b/>
        <i val="0"/>
      </font>
    </dxf>
    <dxf>
      <font>
        <b/>
        <i val="0"/>
      </font>
    </dxf>
    <dxf>
      <fill>
        <patternFill patternType="solid">
          <bgColor theme="3" tint="-0.249977111117893"/>
        </patternFill>
      </fill>
      <protection locked="1" hidden="0"/>
    </dxf>
    <dxf>
      <fill>
        <patternFill patternType="solid">
          <bgColor theme="3" tint="-0.249977111117893"/>
        </patternFill>
      </fill>
      <protection locked="1" hidden="0"/>
    </dxf>
    <dxf>
      <font>
        <strike val="0"/>
        <outline val="0"/>
        <shadow val="0"/>
        <u val="none"/>
        <vertAlign val="baseline"/>
        <sz val="12"/>
        <name val="Calibri"/>
        <scheme val="minor"/>
      </font>
      <fill>
        <patternFill patternType="solid">
          <bgColor theme="3" tint="-0.249977111117893"/>
        </patternFill>
      </fill>
      <alignment horizontal="left" vertical="center" textRotation="0" wrapText="0" indent="1" justifyLastLine="0" shrinkToFit="0" readingOrder="0"/>
      <protection locked="1" hidden="0"/>
    </dxf>
    <dxf>
      <fill>
        <patternFill patternType="none">
          <fgColor indexed="64"/>
          <bgColor indexed="65"/>
        </patternFill>
      </fill>
      <alignment horizontal="general" vertical="top" textRotation="0" wrapText="0" indent="0" justifyLastLine="0" shrinkToFit="0" readingOrder="0"/>
      <protection locked="0" hidden="0"/>
    </dxf>
    <dxf>
      <alignment vertical="top" textRotation="0" indent="0" justifyLastLine="0" shrinkToFit="0" readingOrder="0"/>
      <protection locked="0" hidden="0"/>
    </dxf>
    <dxf>
      <fill>
        <patternFill patternType="none">
          <fgColor indexed="64"/>
          <bgColor indexed="65"/>
        </patternFill>
      </fill>
      <alignment horizontal="general" vertical="top" textRotation="0" wrapText="0" indent="0" justifyLastLine="0" shrinkToFit="0" readingOrder="0"/>
      <protection locked="0" hidden="0"/>
    </dxf>
    <dxf>
      <protection locked="0" hidden="0"/>
    </dxf>
    <dxf>
      <fill>
        <patternFill patternType="none">
          <fgColor indexed="64"/>
          <bgColor indexed="65"/>
        </patternFill>
      </fill>
      <alignment horizontal="general" vertical="top" textRotation="0" wrapText="0" indent="0" justifyLastLine="0" shrinkToFit="0" readingOrder="0"/>
      <protection locked="0" hidden="0"/>
    </dxf>
    <dxf>
      <fill>
        <patternFill patternType="none">
          <fgColor indexed="64"/>
          <bgColor indexed="65"/>
        </patternFill>
      </fill>
      <alignment horizontal="general"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0"/>
        <name val="Calibri"/>
        <family val="2"/>
        <scheme val="minor"/>
      </font>
      <fill>
        <patternFill patternType="solid">
          <fgColor theme="4"/>
          <bgColor theme="4"/>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theme="1"/>
        </top>
      </border>
    </dxf>
    <dxf>
      <border outline="0">
        <bottom style="medium">
          <color theme="1"/>
        </bottom>
      </border>
    </dxf>
    <dxf>
      <border diagonalUp="0" diagonalDown="0">
        <left style="medium">
          <color theme="0" tint="-4.9989318521683403E-2"/>
        </left>
        <right style="medium">
          <color theme="0" tint="-4.9989318521683403E-2"/>
        </right>
        <top style="medium">
          <color theme="0" tint="-4.9989318521683403E-2"/>
        </top>
        <bottom style="medium">
          <color theme="0" tint="-4.9989318521683403E-2"/>
        </bottom>
      </border>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hyperlink" Target="#'View Cases'!A1"/><Relationship Id="rId13" Type="http://schemas.openxmlformats.org/officeDocument/2006/relationships/hyperlink" Target="https://creativecommons.org/licenses/by-nc-sa/4.0/" TargetMode="External"/><Relationship Id="rId3" Type="http://schemas.openxmlformats.org/officeDocument/2006/relationships/image" Target="../media/image2.png"/><Relationship Id="rId7" Type="http://schemas.openxmlformats.org/officeDocument/2006/relationships/hyperlink" Target="#'Design &amp; Evaluate'!A1"/><Relationship Id="rId12"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hyperlink" Target="http://evalc3.net/" TargetMode="External"/><Relationship Id="rId6" Type="http://schemas.openxmlformats.org/officeDocument/2006/relationships/hyperlink" Target="#'Get Started'!A1"/><Relationship Id="rId11" Type="http://schemas.openxmlformats.org/officeDocument/2006/relationships/hyperlink" Target="http://aptivate.org/" TargetMode="External"/><Relationship Id="rId5" Type="http://schemas.openxmlformats.org/officeDocument/2006/relationships/hyperlink" Target="#'Select Data'!A1"/><Relationship Id="rId10" Type="http://schemas.openxmlformats.org/officeDocument/2006/relationships/hyperlink" Target="#'Compare Models'!A1"/><Relationship Id="rId4" Type="http://schemas.openxmlformats.org/officeDocument/2006/relationships/hyperlink" Target="#'Input Data'!A1"/><Relationship Id="rId9" Type="http://schemas.openxmlformats.org/officeDocument/2006/relationships/hyperlink" Target="#'View Models'!A1"/><Relationship Id="rId1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hyperlink" Target="#'View Models'!A1"/><Relationship Id="rId3" Type="http://schemas.openxmlformats.org/officeDocument/2006/relationships/image" Target="../media/image2.png"/><Relationship Id="rId7" Type="http://schemas.openxmlformats.org/officeDocument/2006/relationships/hyperlink" Target="#'View Cases'!A1"/><Relationship Id="rId2" Type="http://schemas.openxmlformats.org/officeDocument/2006/relationships/image" Target="../media/image1.png"/><Relationship Id="rId1" Type="http://schemas.openxmlformats.org/officeDocument/2006/relationships/hyperlink" Target="http://evalc3.net/" TargetMode="External"/><Relationship Id="rId6" Type="http://schemas.openxmlformats.org/officeDocument/2006/relationships/hyperlink" Target="#'Design &amp; Evaluate'!A1"/><Relationship Id="rId5" Type="http://schemas.openxmlformats.org/officeDocument/2006/relationships/hyperlink" Target="#'Get Started'!A1"/><Relationship Id="rId10" Type="http://schemas.openxmlformats.org/officeDocument/2006/relationships/image" Target="../media/image5.emf"/><Relationship Id="rId4" Type="http://schemas.openxmlformats.org/officeDocument/2006/relationships/hyperlink" Target="#'Input Data'!A1"/><Relationship Id="rId9" Type="http://schemas.openxmlformats.org/officeDocument/2006/relationships/hyperlink" Target="#'Compare Models'!A1"/></Relationships>
</file>

<file path=xl/drawings/_rels/drawing3.xml.rels><?xml version="1.0" encoding="UTF-8" standalone="yes"?>
<Relationships xmlns="http://schemas.openxmlformats.org/package/2006/relationships"><Relationship Id="rId8" Type="http://schemas.openxmlformats.org/officeDocument/2006/relationships/hyperlink" Target="#'View Cases'!A1"/><Relationship Id="rId3" Type="http://schemas.openxmlformats.org/officeDocument/2006/relationships/image" Target="../media/image2.png"/><Relationship Id="rId7" Type="http://schemas.openxmlformats.org/officeDocument/2006/relationships/hyperlink" Target="#'Get Started'!A1"/><Relationship Id="rId2" Type="http://schemas.openxmlformats.org/officeDocument/2006/relationships/image" Target="../media/image1.png"/><Relationship Id="rId1" Type="http://schemas.openxmlformats.org/officeDocument/2006/relationships/hyperlink" Target="http://evalc3.net/" TargetMode="External"/><Relationship Id="rId6" Type="http://schemas.openxmlformats.org/officeDocument/2006/relationships/hyperlink" Target="#'Select Data'!A1"/><Relationship Id="rId5" Type="http://schemas.openxmlformats.org/officeDocument/2006/relationships/hyperlink" Target="#'Input Data'!A1"/><Relationship Id="rId10" Type="http://schemas.openxmlformats.org/officeDocument/2006/relationships/hyperlink" Target="#'Compare Models'!A1"/><Relationship Id="rId4" Type="http://schemas.openxmlformats.org/officeDocument/2006/relationships/image" Target="../media/image6.png"/><Relationship Id="rId9" Type="http://schemas.openxmlformats.org/officeDocument/2006/relationships/hyperlink" Target="#'View Models'!A1"/></Relationships>
</file>

<file path=xl/drawings/_rels/drawing4.xml.rels><?xml version="1.0" encoding="UTF-8" standalone="yes"?>
<Relationships xmlns="http://schemas.openxmlformats.org/package/2006/relationships"><Relationship Id="rId8" Type="http://schemas.openxmlformats.org/officeDocument/2006/relationships/hyperlink" Target="#'Get Started'!A1"/><Relationship Id="rId13" Type="http://schemas.openxmlformats.org/officeDocument/2006/relationships/image" Target="../media/image6.png"/><Relationship Id="rId3" Type="http://schemas.openxmlformats.org/officeDocument/2006/relationships/image" Target="../media/image2.png"/><Relationship Id="rId7" Type="http://schemas.openxmlformats.org/officeDocument/2006/relationships/hyperlink" Target="#'Select Data'!A1"/><Relationship Id="rId12" Type="http://schemas.openxmlformats.org/officeDocument/2006/relationships/hyperlink" Target="#'Compare Models'!A1"/><Relationship Id="rId2" Type="http://schemas.openxmlformats.org/officeDocument/2006/relationships/image" Target="../media/image1.png"/><Relationship Id="rId1" Type="http://schemas.openxmlformats.org/officeDocument/2006/relationships/hyperlink" Target="http://evalc3.net/" TargetMode="External"/><Relationship Id="rId6" Type="http://schemas.openxmlformats.org/officeDocument/2006/relationships/hyperlink" Target="#'Input Data'!A1"/><Relationship Id="rId11" Type="http://schemas.openxmlformats.org/officeDocument/2006/relationships/hyperlink" Target="#'View Models'!A1"/><Relationship Id="rId5" Type="http://schemas.microsoft.com/office/2007/relationships/hdphoto" Target="../media/hdphoto1.wdp"/><Relationship Id="rId10" Type="http://schemas.openxmlformats.org/officeDocument/2006/relationships/hyperlink" Target="#'View Cases'!A1"/><Relationship Id="rId4" Type="http://schemas.openxmlformats.org/officeDocument/2006/relationships/image" Target="../media/image7.png"/><Relationship Id="rId9" Type="http://schemas.openxmlformats.org/officeDocument/2006/relationships/hyperlink" Target="#'Design &amp; Evaluate'!A1"/></Relationships>
</file>

<file path=xl/drawings/_rels/drawing5.xml.rels><?xml version="1.0" encoding="UTF-8" standalone="yes"?>
<Relationships xmlns="http://schemas.openxmlformats.org/package/2006/relationships"><Relationship Id="rId8" Type="http://schemas.openxmlformats.org/officeDocument/2006/relationships/hyperlink" Target="#'View Models'!A1"/><Relationship Id="rId3" Type="http://schemas.openxmlformats.org/officeDocument/2006/relationships/image" Target="../media/image2.png"/><Relationship Id="rId7" Type="http://schemas.openxmlformats.org/officeDocument/2006/relationships/hyperlink" Target="#'Design &amp; Evaluate'!A1"/><Relationship Id="rId2" Type="http://schemas.openxmlformats.org/officeDocument/2006/relationships/image" Target="../media/image1.png"/><Relationship Id="rId1" Type="http://schemas.openxmlformats.org/officeDocument/2006/relationships/hyperlink" Target="http://evalc3.net/" TargetMode="External"/><Relationship Id="rId6" Type="http://schemas.openxmlformats.org/officeDocument/2006/relationships/hyperlink" Target="#'Get Started'!A1"/><Relationship Id="rId5" Type="http://schemas.openxmlformats.org/officeDocument/2006/relationships/hyperlink" Target="#'Select Data'!A1"/><Relationship Id="rId4" Type="http://schemas.openxmlformats.org/officeDocument/2006/relationships/hyperlink" Target="#'Input Data'!A1"/></Relationships>
</file>

<file path=xl/drawings/_rels/drawing6.xml.rels><?xml version="1.0" encoding="UTF-8" standalone="yes"?>
<Relationships xmlns="http://schemas.openxmlformats.org/package/2006/relationships"><Relationship Id="rId8" Type="http://schemas.openxmlformats.org/officeDocument/2006/relationships/hyperlink" Target="#'View Cases'!A1"/><Relationship Id="rId3" Type="http://schemas.openxmlformats.org/officeDocument/2006/relationships/image" Target="../media/image2.png"/><Relationship Id="rId7" Type="http://schemas.openxmlformats.org/officeDocument/2006/relationships/hyperlink" Target="#'Design &amp; Evaluate'!A1"/><Relationship Id="rId2" Type="http://schemas.openxmlformats.org/officeDocument/2006/relationships/image" Target="../media/image1.png"/><Relationship Id="rId1" Type="http://schemas.openxmlformats.org/officeDocument/2006/relationships/hyperlink" Target="http://evalc3.net/" TargetMode="External"/><Relationship Id="rId6" Type="http://schemas.openxmlformats.org/officeDocument/2006/relationships/hyperlink" Target="#'Get Started'!A1"/><Relationship Id="rId5" Type="http://schemas.openxmlformats.org/officeDocument/2006/relationships/hyperlink" Target="#'Select Data'!A1"/><Relationship Id="rId10" Type="http://schemas.openxmlformats.org/officeDocument/2006/relationships/hyperlink" Target="#'Compare Models'!A1"/><Relationship Id="rId4" Type="http://schemas.openxmlformats.org/officeDocument/2006/relationships/hyperlink" Target="#'Input Data'!A1"/><Relationship Id="rId9" Type="http://schemas.openxmlformats.org/officeDocument/2006/relationships/hyperlink" Target="#'View Models'!A1"/></Relationships>
</file>

<file path=xl/drawings/_rels/drawing7.xml.rels><?xml version="1.0" encoding="UTF-8" standalone="yes"?>
<Relationships xmlns="http://schemas.openxmlformats.org/package/2006/relationships"><Relationship Id="rId8" Type="http://schemas.openxmlformats.org/officeDocument/2006/relationships/hyperlink" Target="#'View Cases'!A1"/><Relationship Id="rId3" Type="http://schemas.openxmlformats.org/officeDocument/2006/relationships/image" Target="../media/image2.png"/><Relationship Id="rId7" Type="http://schemas.openxmlformats.org/officeDocument/2006/relationships/hyperlink" Target="#'Design &amp; Evaluate'!A1"/><Relationship Id="rId2" Type="http://schemas.openxmlformats.org/officeDocument/2006/relationships/image" Target="../media/image1.png"/><Relationship Id="rId1" Type="http://schemas.openxmlformats.org/officeDocument/2006/relationships/hyperlink" Target="http://evalc3.net/" TargetMode="External"/><Relationship Id="rId6" Type="http://schemas.openxmlformats.org/officeDocument/2006/relationships/hyperlink" Target="#'Get Started'!A1"/><Relationship Id="rId5" Type="http://schemas.openxmlformats.org/officeDocument/2006/relationships/hyperlink" Target="#'Select Data'!A1"/><Relationship Id="rId10" Type="http://schemas.openxmlformats.org/officeDocument/2006/relationships/hyperlink" Target="#'Compare Models'!A1"/><Relationship Id="rId4" Type="http://schemas.openxmlformats.org/officeDocument/2006/relationships/hyperlink" Target="#'Input Data'!A1"/><Relationship Id="rId9" Type="http://schemas.openxmlformats.org/officeDocument/2006/relationships/hyperlink" Target="#'View Model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Input Data'!A1"/><Relationship Id="rId7" Type="http://schemas.openxmlformats.org/officeDocument/2006/relationships/hyperlink" Target="#'View Cases'!A1"/><Relationship Id="rId2" Type="http://schemas.openxmlformats.org/officeDocument/2006/relationships/image" Target="../media/image1.png"/><Relationship Id="rId1" Type="http://schemas.openxmlformats.org/officeDocument/2006/relationships/hyperlink" Target="http://evalc3.net/" TargetMode="External"/><Relationship Id="rId6" Type="http://schemas.openxmlformats.org/officeDocument/2006/relationships/hyperlink" Target="#'Design &amp; Evaluate'!A1"/><Relationship Id="rId5" Type="http://schemas.openxmlformats.org/officeDocument/2006/relationships/hyperlink" Target="#'Get Started'!A1"/><Relationship Id="rId4" Type="http://schemas.openxmlformats.org/officeDocument/2006/relationships/hyperlink" Target="#'Select Data'!A1"/><Relationship Id="rId9" Type="http://schemas.openxmlformats.org/officeDocument/2006/relationships/hyperlink" Target="#'Shared Coverage'!A1"/></Relationships>
</file>

<file path=xl/drawings/_rels/drawing9.xml.rels><?xml version="1.0" encoding="UTF-8" standalone="yes"?>
<Relationships xmlns="http://schemas.openxmlformats.org/package/2006/relationships"><Relationship Id="rId8" Type="http://schemas.openxmlformats.org/officeDocument/2006/relationships/hyperlink" Target="#'View Cases'!A1"/><Relationship Id="rId3" Type="http://schemas.openxmlformats.org/officeDocument/2006/relationships/image" Target="../media/image2.png"/><Relationship Id="rId7" Type="http://schemas.openxmlformats.org/officeDocument/2006/relationships/hyperlink" Target="#'Design &amp; Evaluate'!A1"/><Relationship Id="rId2" Type="http://schemas.openxmlformats.org/officeDocument/2006/relationships/image" Target="../media/image1.png"/><Relationship Id="rId1" Type="http://schemas.openxmlformats.org/officeDocument/2006/relationships/hyperlink" Target="http://evalc3.net/" TargetMode="External"/><Relationship Id="rId6" Type="http://schemas.openxmlformats.org/officeDocument/2006/relationships/hyperlink" Target="#'Get Started'!A1"/><Relationship Id="rId5" Type="http://schemas.openxmlformats.org/officeDocument/2006/relationships/hyperlink" Target="#'Select Data'!A1"/><Relationship Id="rId10" Type="http://schemas.openxmlformats.org/officeDocument/2006/relationships/hyperlink" Target="#'Compare Models'!A1"/><Relationship Id="rId4" Type="http://schemas.openxmlformats.org/officeDocument/2006/relationships/hyperlink" Target="#'Input Data'!A1"/><Relationship Id="rId9" Type="http://schemas.openxmlformats.org/officeDocument/2006/relationships/hyperlink" Target="#'View Models'!A1"/></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evalc3.net/"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466725</xdr:colOff>
      <xdr:row>1</xdr:row>
      <xdr:rowOff>300264</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076325" cy="1076325"/>
        </a:xfrm>
        <a:prstGeom prst="rect">
          <a:avLst/>
        </a:prstGeom>
      </xdr:spPr>
    </xdr:pic>
    <xdr:clientData/>
  </xdr:twoCellAnchor>
  <xdr:twoCellAnchor editAs="absolute">
    <xdr:from>
      <xdr:col>1</xdr:col>
      <xdr:colOff>628650</xdr:colOff>
      <xdr:row>0</xdr:row>
      <xdr:rowOff>228600</xdr:rowOff>
    </xdr:from>
    <xdr:to>
      <xdr:col>5</xdr:col>
      <xdr:colOff>76201</xdr:colOff>
      <xdr:row>0</xdr:row>
      <xdr:rowOff>542925</xdr:rowOff>
    </xdr:to>
    <xdr:sp macro="" textlink="">
      <xdr:nvSpPr>
        <xdr:cNvPr id="17" name="Rectangle 16">
          <a:extLst>
            <a:ext uri="{FF2B5EF4-FFF2-40B4-BE49-F238E27FC236}">
              <a16:creationId xmlns:a16="http://schemas.microsoft.com/office/drawing/2014/main" id="{00000000-0008-0000-0000-000011000000}"/>
            </a:ext>
          </a:extLst>
        </xdr:cNvPr>
        <xdr:cNvSpPr/>
      </xdr:nvSpPr>
      <xdr:spPr>
        <a:xfrm>
          <a:off x="1238250" y="228600"/>
          <a:ext cx="2028826" cy="314325"/>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400" b="1" u="none" baseline="0"/>
            <a:t>Get started</a:t>
          </a:r>
          <a:endParaRPr lang="en-GB" sz="2400" b="1" u="sng"/>
        </a:p>
      </xdr:txBody>
    </xdr:sp>
    <xdr:clientData/>
  </xdr:twoCellAnchor>
  <xdr:twoCellAnchor editAs="oneCell">
    <xdr:from>
      <xdr:col>14</xdr:col>
      <xdr:colOff>500062</xdr:colOff>
      <xdr:row>5</xdr:row>
      <xdr:rowOff>66675</xdr:rowOff>
    </xdr:from>
    <xdr:to>
      <xdr:col>15</xdr:col>
      <xdr:colOff>72676</xdr:colOff>
      <xdr:row>5</xdr:row>
      <xdr:rowOff>235025</xdr:rowOff>
    </xdr:to>
    <xdr:pic macro="[0]!HelpInstallSolver">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9234487" y="1790700"/>
          <a:ext cx="182214" cy="168350"/>
        </a:xfrm>
        <a:prstGeom prst="rect">
          <a:avLst/>
        </a:prstGeom>
        <a:effectLst>
          <a:outerShdw blurRad="50800" dist="25400" dir="2700000" algn="tl" rotWithShape="0">
            <a:schemeClr val="bg1">
              <a:lumMod val="85000"/>
              <a:alpha val="40000"/>
            </a:schemeClr>
          </a:outerShdw>
        </a:effectLst>
      </xdr:spPr>
    </xdr:pic>
    <xdr:clientData/>
  </xdr:twoCellAnchor>
  <xdr:twoCellAnchor editAs="oneCell">
    <xdr:from>
      <xdr:col>14</xdr:col>
      <xdr:colOff>500062</xdr:colOff>
      <xdr:row>6</xdr:row>
      <xdr:rowOff>33338</xdr:rowOff>
    </xdr:from>
    <xdr:to>
      <xdr:col>15</xdr:col>
      <xdr:colOff>72676</xdr:colOff>
      <xdr:row>6</xdr:row>
      <xdr:rowOff>201688</xdr:rowOff>
    </xdr:to>
    <xdr:pic macro="[0]!HelpEnableMacros">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9234487" y="2090738"/>
          <a:ext cx="182214" cy="168350"/>
        </a:xfrm>
        <a:prstGeom prst="rect">
          <a:avLst/>
        </a:prstGeom>
        <a:effectLst>
          <a:outerShdw blurRad="50800" dist="25400" dir="2700000" algn="tl" rotWithShape="0">
            <a:schemeClr val="bg1">
              <a:lumMod val="85000"/>
              <a:alpha val="40000"/>
            </a:schemeClr>
          </a:outerShdw>
        </a:effectLst>
      </xdr:spPr>
    </xdr:pic>
    <xdr:clientData/>
  </xdr:twoCellAnchor>
  <xdr:twoCellAnchor editAs="oneCell">
    <xdr:from>
      <xdr:col>14</xdr:col>
      <xdr:colOff>500062</xdr:colOff>
      <xdr:row>7</xdr:row>
      <xdr:rowOff>38100</xdr:rowOff>
    </xdr:from>
    <xdr:to>
      <xdr:col>15</xdr:col>
      <xdr:colOff>72676</xdr:colOff>
      <xdr:row>7</xdr:row>
      <xdr:rowOff>206450</xdr:rowOff>
    </xdr:to>
    <xdr:pic macro="[0]!HelpAutoCalculate">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9234487" y="2390775"/>
          <a:ext cx="182214" cy="168350"/>
        </a:xfrm>
        <a:prstGeom prst="rect">
          <a:avLst/>
        </a:prstGeom>
        <a:effectLst>
          <a:outerShdw blurRad="50800" dist="25400" dir="2700000" algn="tl" rotWithShape="0">
            <a:schemeClr val="bg1">
              <a:lumMod val="85000"/>
              <a:alpha val="40000"/>
            </a:schemeClr>
          </a:outerShdw>
        </a:effectLst>
      </xdr:spPr>
    </xdr:pic>
    <xdr:clientData/>
  </xdr:twoCellAnchor>
  <xdr:twoCellAnchor editAs="absolute">
    <xdr:from>
      <xdr:col>2</xdr:col>
      <xdr:colOff>680</xdr:colOff>
      <xdr:row>1</xdr:row>
      <xdr:rowOff>47624</xdr:rowOff>
    </xdr:from>
    <xdr:to>
      <xdr:col>16</xdr:col>
      <xdr:colOff>251861</xdr:colOff>
      <xdr:row>1</xdr:row>
      <xdr:rowOff>276606</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362755" y="809624"/>
          <a:ext cx="8871306" cy="228982"/>
          <a:chOff x="1362074" y="809624"/>
          <a:chExt cx="8881512" cy="228982"/>
        </a:xfrm>
      </xdr:grpSpPr>
      <xdr:sp macro="" textlink="">
        <xdr:nvSpPr>
          <xdr:cNvPr id="3" name="TextBox 2">
            <a:hlinkClick xmlns:r="http://schemas.openxmlformats.org/officeDocument/2006/relationships" r:id="rId4"/>
            <a:extLst>
              <a:ext uri="{FF2B5EF4-FFF2-40B4-BE49-F238E27FC236}">
                <a16:creationId xmlns:a16="http://schemas.microsoft.com/office/drawing/2014/main" id="{00000000-0008-0000-0000-000003000000}"/>
              </a:ext>
            </a:extLst>
          </xdr:cNvPr>
          <xdr:cNvSpPr txBox="1"/>
        </xdr:nvSpPr>
        <xdr:spPr>
          <a:xfrm>
            <a:off x="2564753" y="819149"/>
            <a:ext cx="1087870" cy="219076"/>
          </a:xfrm>
          <a:prstGeom prst="chevron">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bg1"/>
                </a:solidFill>
              </a:rPr>
              <a:t>Input</a:t>
            </a:r>
            <a:r>
              <a:rPr lang="en-GB" sz="1100" baseline="0">
                <a:solidFill>
                  <a:schemeClr val="bg1"/>
                </a:solidFill>
              </a:rPr>
              <a:t> Data</a:t>
            </a:r>
            <a:endParaRPr lang="en-GB" sz="1100">
              <a:solidFill>
                <a:schemeClr val="bg1"/>
              </a:solidFill>
            </a:endParaRPr>
          </a:p>
        </xdr:txBody>
      </xdr:sp>
      <xdr:sp macro="" textlink="">
        <xdr:nvSpPr>
          <xdr:cNvPr id="19" name="TextBox 18">
            <a:hlinkClick xmlns:r="http://schemas.openxmlformats.org/officeDocument/2006/relationships" r:id="rId5"/>
            <a:extLst>
              <a:ext uri="{FF2B5EF4-FFF2-40B4-BE49-F238E27FC236}">
                <a16:creationId xmlns:a16="http://schemas.microsoft.com/office/drawing/2014/main" id="{00000000-0008-0000-0000-000013000000}"/>
              </a:ext>
            </a:extLst>
          </xdr:cNvPr>
          <xdr:cNvSpPr txBox="1"/>
        </xdr:nvSpPr>
        <xdr:spPr>
          <a:xfrm>
            <a:off x="3580282" y="819149"/>
            <a:ext cx="1125424"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Select Data</a:t>
            </a:r>
          </a:p>
        </xdr:txBody>
      </xdr:sp>
      <xdr:sp macro="" textlink="">
        <xdr:nvSpPr>
          <xdr:cNvPr id="24" name="TextBox 23">
            <a:hlinkClick xmlns:r="http://schemas.openxmlformats.org/officeDocument/2006/relationships" r:id="rId6"/>
            <a:extLst>
              <a:ext uri="{FF2B5EF4-FFF2-40B4-BE49-F238E27FC236}">
                <a16:creationId xmlns:a16="http://schemas.microsoft.com/office/drawing/2014/main" id="{00000000-0008-0000-0000-000018000000}"/>
              </a:ext>
            </a:extLst>
          </xdr:cNvPr>
          <xdr:cNvSpPr txBox="1"/>
        </xdr:nvSpPr>
        <xdr:spPr>
          <a:xfrm>
            <a:off x="1362074" y="809624"/>
            <a:ext cx="1267797" cy="219076"/>
          </a:xfrm>
          <a:prstGeom prst="chevron">
            <a:avLst/>
          </a:prstGeom>
          <a:solidFill>
            <a:schemeClr val="tx2">
              <a:lumMod val="50000"/>
            </a:schemeClr>
          </a:solidFill>
          <a:ln w="9525" cmpd="sng">
            <a:noFill/>
          </a:ln>
          <a:effectLst>
            <a:outerShdw blurRad="127000" dist="63500" dir="4200000" algn="tl" rotWithShape="0">
              <a:schemeClr val="tx2">
                <a:lumMod val="50000"/>
                <a:alpha val="63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Get Started</a:t>
            </a:r>
          </a:p>
        </xdr:txBody>
      </xdr:sp>
      <xdr:sp macro="" textlink="">
        <xdr:nvSpPr>
          <xdr:cNvPr id="26" name="TextBox 25">
            <a:hlinkClick xmlns:r="http://schemas.openxmlformats.org/officeDocument/2006/relationships" r:id="rId7"/>
            <a:extLst>
              <a:ext uri="{FF2B5EF4-FFF2-40B4-BE49-F238E27FC236}">
                <a16:creationId xmlns:a16="http://schemas.microsoft.com/office/drawing/2014/main" id="{00000000-0008-0000-0000-00001A000000}"/>
              </a:ext>
            </a:extLst>
          </xdr:cNvPr>
          <xdr:cNvSpPr txBox="1"/>
        </xdr:nvSpPr>
        <xdr:spPr>
          <a:xfrm>
            <a:off x="4640163" y="819149"/>
            <a:ext cx="1852584"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Design &amp; Evaluate</a:t>
            </a:r>
          </a:p>
        </xdr:txBody>
      </xdr:sp>
      <xdr:sp macro="" textlink="">
        <xdr:nvSpPr>
          <xdr:cNvPr id="27" name="TextBox 26">
            <a:hlinkClick xmlns:r="http://schemas.openxmlformats.org/officeDocument/2006/relationships" r:id="rId8"/>
            <a:extLst>
              <a:ext uri="{FF2B5EF4-FFF2-40B4-BE49-F238E27FC236}">
                <a16:creationId xmlns:a16="http://schemas.microsoft.com/office/drawing/2014/main" id="{00000000-0008-0000-0000-00001B000000}"/>
              </a:ext>
            </a:extLst>
          </xdr:cNvPr>
          <xdr:cNvSpPr txBox="1"/>
        </xdr:nvSpPr>
        <xdr:spPr>
          <a:xfrm>
            <a:off x="7681040" y="819149"/>
            <a:ext cx="1180340"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Cases</a:t>
            </a:r>
          </a:p>
        </xdr:txBody>
      </xdr:sp>
      <xdr:sp macro="" textlink="">
        <xdr:nvSpPr>
          <xdr:cNvPr id="28" name="TextBox 27">
            <a:hlinkClick xmlns:r="http://schemas.openxmlformats.org/officeDocument/2006/relationships" r:id="rId9"/>
            <a:extLst>
              <a:ext uri="{FF2B5EF4-FFF2-40B4-BE49-F238E27FC236}">
                <a16:creationId xmlns:a16="http://schemas.microsoft.com/office/drawing/2014/main" id="{00000000-0008-0000-0000-00001C000000}"/>
              </a:ext>
            </a:extLst>
          </xdr:cNvPr>
          <xdr:cNvSpPr txBox="1"/>
        </xdr:nvSpPr>
        <xdr:spPr>
          <a:xfrm>
            <a:off x="6442548" y="819149"/>
            <a:ext cx="1295665"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Models</a:t>
            </a:r>
          </a:p>
        </xdr:txBody>
      </xdr:sp>
      <xdr:sp macro="" textlink="">
        <xdr:nvSpPr>
          <xdr:cNvPr id="15" name="TextBox 14">
            <a:hlinkClick xmlns:r="http://schemas.openxmlformats.org/officeDocument/2006/relationships" r:id="rId10"/>
            <a:extLst>
              <a:ext uri="{FF2B5EF4-FFF2-40B4-BE49-F238E27FC236}">
                <a16:creationId xmlns:a16="http://schemas.microsoft.com/office/drawing/2014/main" id="{00000000-0008-0000-0000-00000F000000}"/>
              </a:ext>
            </a:extLst>
          </xdr:cNvPr>
          <xdr:cNvSpPr txBox="1"/>
        </xdr:nvSpPr>
        <xdr:spPr>
          <a:xfrm>
            <a:off x="8803586" y="819150"/>
            <a:ext cx="1440000"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tx2">
                    <a:lumMod val="20000"/>
                    <a:lumOff val="80000"/>
                  </a:schemeClr>
                </a:solidFill>
              </a:rPr>
              <a:t>Compare Models</a:t>
            </a:r>
          </a:p>
        </xdr:txBody>
      </xdr:sp>
    </xdr:grpSp>
    <xdr:clientData/>
  </xdr:twoCellAnchor>
  <xdr:twoCellAnchor editAs="oneCell">
    <xdr:from>
      <xdr:col>1</xdr:col>
      <xdr:colOff>708214</xdr:colOff>
      <xdr:row>17</xdr:row>
      <xdr:rowOff>11759</xdr:rowOff>
    </xdr:from>
    <xdr:to>
      <xdr:col>3</xdr:col>
      <xdr:colOff>46953</xdr:colOff>
      <xdr:row>18</xdr:row>
      <xdr:rowOff>31503</xdr:rowOff>
    </xdr:to>
    <xdr:pic>
      <xdr:nvPicPr>
        <xdr:cNvPr id="22" name="Picture 21">
          <a:hlinkClick xmlns:r="http://schemas.openxmlformats.org/officeDocument/2006/relationships" r:id="rId1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317814" y="4631384"/>
          <a:ext cx="700814" cy="210244"/>
        </a:xfrm>
        <a:prstGeom prst="rect">
          <a:avLst/>
        </a:prstGeom>
      </xdr:spPr>
    </xdr:pic>
    <xdr:clientData/>
  </xdr:twoCellAnchor>
  <xdr:twoCellAnchor editAs="absolute">
    <xdr:from>
      <xdr:col>1</xdr:col>
      <xdr:colOff>695325</xdr:colOff>
      <xdr:row>20</xdr:row>
      <xdr:rowOff>19050</xdr:rowOff>
    </xdr:from>
    <xdr:to>
      <xdr:col>2</xdr:col>
      <xdr:colOff>480369</xdr:colOff>
      <xdr:row>21</xdr:row>
      <xdr:rowOff>18057</xdr:rowOff>
    </xdr:to>
    <xdr:pic>
      <xdr:nvPicPr>
        <xdr:cNvPr id="25" name="Picture 24">
          <a:hlinkClick xmlns:r="http://schemas.openxmlformats.org/officeDocument/2006/relationships" r:id="rId13"/>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304925" y="5210175"/>
          <a:ext cx="537519" cy="1895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0</xdr:colOff>
      <xdr:row>0</xdr:row>
      <xdr:rowOff>0</xdr:rowOff>
    </xdr:to>
    <xdr:sp macro="" textlink="">
      <xdr:nvSpPr>
        <xdr:cNvPr id="16404" name="CommandButton1" hidden="1">
          <a:extLst>
            <a:ext uri="{63B3BB69-23CF-44E3-9099-C40C66FF867C}">
              <a14:compatExt xmlns:a14="http://schemas.microsoft.com/office/drawing/2010/main" spid="_x0000_s16404"/>
            </a:ext>
            <a:ext uri="{FF2B5EF4-FFF2-40B4-BE49-F238E27FC236}">
              <a16:creationId xmlns:a16="http://schemas.microsoft.com/office/drawing/2014/main" id="{00000000-0008-0000-0200-000014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xmlns:a14="http://schemas.microsoft.com/office/drawing/2010/main" w="1">
              <a:noFill/>
              <a:miter lim="800000"/>
              <a:headEnd/>
              <a:tailEnd/>
            </a14:hiddenLine>
          </a:ext>
          <a:ext uri="{53640926-AAD7-44D8-BBD7-CCE9431645EC}">
            <a14:shadowObscured xmlns:a14="http://schemas.microsoft.com/office/drawing/2010/main" val="1"/>
          </a:ext>
        </a:extLst>
      </xdr:spPr>
    </xdr:sp>
    <xdr:clientData/>
  </xdr:twoCellAnchor>
  <xdr:twoCellAnchor editAs="oneCell">
    <xdr:from>
      <xdr:col>0</xdr:col>
      <xdr:colOff>0</xdr:colOff>
      <xdr:row>0</xdr:row>
      <xdr:rowOff>0</xdr:rowOff>
    </xdr:from>
    <xdr:to>
      <xdr:col>1</xdr:col>
      <xdr:colOff>466725</xdr:colOff>
      <xdr:row>2</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076325" cy="1076325"/>
        </a:xfrm>
        <a:prstGeom prst="rect">
          <a:avLst/>
        </a:prstGeom>
      </xdr:spPr>
    </xdr:pic>
    <xdr:clientData/>
  </xdr:twoCellAnchor>
  <xdr:twoCellAnchor editAs="absolute">
    <xdr:from>
      <xdr:col>1</xdr:col>
      <xdr:colOff>581025</xdr:colOff>
      <xdr:row>0</xdr:row>
      <xdr:rowOff>228600</xdr:rowOff>
    </xdr:from>
    <xdr:to>
      <xdr:col>4</xdr:col>
      <xdr:colOff>9525</xdr:colOff>
      <xdr:row>0</xdr:row>
      <xdr:rowOff>542925</xdr:rowOff>
    </xdr:to>
    <xdr:sp macro="" textlink="">
      <xdr:nvSpPr>
        <xdr:cNvPr id="7" name="Rectangle 6">
          <a:extLst>
            <a:ext uri="{FF2B5EF4-FFF2-40B4-BE49-F238E27FC236}">
              <a16:creationId xmlns:a16="http://schemas.microsoft.com/office/drawing/2014/main" id="{00000000-0008-0000-0200-000007000000}"/>
            </a:ext>
          </a:extLst>
        </xdr:cNvPr>
        <xdr:cNvSpPr/>
      </xdr:nvSpPr>
      <xdr:spPr>
        <a:xfrm>
          <a:off x="1190625" y="228600"/>
          <a:ext cx="1504950" cy="314325"/>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400" b="1" u="none" baseline="0"/>
            <a:t>Input data</a:t>
          </a:r>
          <a:endParaRPr lang="en-GB" sz="2400" b="1" u="sng"/>
        </a:p>
      </xdr:txBody>
    </xdr:sp>
    <xdr:clientData/>
  </xdr:twoCellAnchor>
  <xdr:twoCellAnchor editAs="oneCell">
    <xdr:from>
      <xdr:col>3</xdr:col>
      <xdr:colOff>600075</xdr:colOff>
      <xdr:row>0</xdr:row>
      <xdr:rowOff>317639</xdr:rowOff>
    </xdr:from>
    <xdr:to>
      <xdr:col>4</xdr:col>
      <xdr:colOff>172689</xdr:colOff>
      <xdr:row>0</xdr:row>
      <xdr:rowOff>485989</xdr:rowOff>
    </xdr:to>
    <xdr:pic macro="[0]!HelpInputData">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2679010" y="317639"/>
          <a:ext cx="185527" cy="168350"/>
        </a:xfrm>
        <a:prstGeom prst="rect">
          <a:avLst/>
        </a:prstGeom>
        <a:effectLst>
          <a:outerShdw blurRad="50800" dist="38100" dir="2700000" algn="tl" rotWithShape="0">
            <a:schemeClr val="accent1">
              <a:lumMod val="50000"/>
              <a:alpha val="40000"/>
            </a:schemeClr>
          </a:outerShdw>
        </a:effectLst>
      </xdr:spPr>
    </xdr:pic>
    <xdr:clientData/>
  </xdr:twoCellAnchor>
  <xdr:twoCellAnchor editAs="absolute">
    <xdr:from>
      <xdr:col>0</xdr:col>
      <xdr:colOff>228600</xdr:colOff>
      <xdr:row>3</xdr:row>
      <xdr:rowOff>133350</xdr:rowOff>
    </xdr:from>
    <xdr:to>
      <xdr:col>1</xdr:col>
      <xdr:colOff>684609</xdr:colOff>
      <xdr:row>5</xdr:row>
      <xdr:rowOff>153266</xdr:rowOff>
    </xdr:to>
    <xdr:sp macro="[0]!pasteInput" textlink="">
      <xdr:nvSpPr>
        <xdr:cNvPr id="17" name="paste data button">
          <a:extLst>
            <a:ext uri="{FF2B5EF4-FFF2-40B4-BE49-F238E27FC236}">
              <a16:creationId xmlns:a16="http://schemas.microsoft.com/office/drawing/2014/main" id="{00000000-0008-0000-0200-000011000000}"/>
            </a:ext>
          </a:extLst>
        </xdr:cNvPr>
        <xdr:cNvSpPr/>
      </xdr:nvSpPr>
      <xdr:spPr>
        <a:xfrm>
          <a:off x="228600" y="1401366"/>
          <a:ext cx="1063228" cy="496166"/>
        </a:xfrm>
        <a:prstGeom prst="rightArrow">
          <a:avLst/>
        </a:prstGeom>
        <a:solidFill>
          <a:schemeClr val="accent6">
            <a:lumMod val="75000"/>
          </a:schemeClr>
        </a:solidFill>
        <a:ln>
          <a:noFill/>
        </a:ln>
        <a:effectLst>
          <a:outerShdw blurRad="63500" dist="38100" dir="2700000" algn="tl" rotWithShape="0">
            <a:schemeClr val="accent6">
              <a:lumMod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solidFill>
            </a:rPr>
            <a:t>Paste</a:t>
          </a:r>
          <a:r>
            <a:rPr lang="en-GB" sz="1100" b="1" baseline="0">
              <a:solidFill>
                <a:schemeClr val="bg1"/>
              </a:solidFill>
            </a:rPr>
            <a:t> data</a:t>
          </a:r>
          <a:endParaRPr lang="en-GB" sz="1100" b="1">
            <a:solidFill>
              <a:schemeClr val="bg1"/>
            </a:solidFill>
          </a:endParaRPr>
        </a:p>
      </xdr:txBody>
    </xdr:sp>
    <xdr:clientData/>
  </xdr:twoCellAnchor>
  <xdr:twoCellAnchor>
    <xdr:from>
      <xdr:col>0</xdr:col>
      <xdr:colOff>231200</xdr:colOff>
      <xdr:row>6</xdr:row>
      <xdr:rowOff>77586</xdr:rowOff>
    </xdr:from>
    <xdr:to>
      <xdr:col>1</xdr:col>
      <xdr:colOff>432957</xdr:colOff>
      <xdr:row>7</xdr:row>
      <xdr:rowOff>126655</xdr:rowOff>
    </xdr:to>
    <xdr:sp macro="[0]!ClearData" textlink="">
      <xdr:nvSpPr>
        <xdr:cNvPr id="18" name="clearbutton">
          <a:extLst>
            <a:ext uri="{FF2B5EF4-FFF2-40B4-BE49-F238E27FC236}">
              <a16:creationId xmlns:a16="http://schemas.microsoft.com/office/drawing/2014/main" id="{00000000-0008-0000-0200-000012000000}"/>
            </a:ext>
          </a:extLst>
        </xdr:cNvPr>
        <xdr:cNvSpPr/>
      </xdr:nvSpPr>
      <xdr:spPr>
        <a:xfrm>
          <a:off x="231200" y="2011161"/>
          <a:ext cx="811357" cy="239569"/>
        </a:xfrm>
        <a:prstGeom prst="rect">
          <a:avLst/>
        </a:prstGeom>
        <a:solidFill>
          <a:schemeClr val="tx1">
            <a:lumMod val="50000"/>
            <a:lumOff val="50000"/>
          </a:schemeClr>
        </a:solidFill>
        <a:ln>
          <a:noFill/>
        </a:ln>
        <a:effectLst/>
        <a:extLst>
          <a:ext uri="{AF507438-7753-43E0-B8FC-AC1667EBCBE1}">
            <a14:hiddenEffects xmlns:a14="http://schemas.microsoft.com/office/drawing/2010/main">
              <a:effectLst>
                <a:outerShdw blurRad="63500" dist="37357" dir="2700000" rotWithShape="0">
                  <a:schemeClr val="accent6">
                    <a:lumMod val="50000"/>
                    <a:alpha val="40000"/>
                  </a:schemeClr>
                </a:outerShdw>
              </a:effectLst>
            </a14:hiddenEffects>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t>Clear Data</a:t>
          </a:r>
        </a:p>
      </xdr:txBody>
    </xdr:sp>
    <xdr:clientData/>
  </xdr:twoCellAnchor>
  <xdr:twoCellAnchor editAs="absolute">
    <xdr:from>
      <xdr:col>1</xdr:col>
      <xdr:colOff>638175</xdr:colOff>
      <xdr:row>1</xdr:row>
      <xdr:rowOff>57150</xdr:rowOff>
    </xdr:from>
    <xdr:to>
      <xdr:col>16</xdr:col>
      <xdr:colOff>94379</xdr:colOff>
      <xdr:row>1</xdr:row>
      <xdr:rowOff>286131</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1247775" y="819150"/>
          <a:ext cx="8847854" cy="228981"/>
          <a:chOff x="1251088" y="819150"/>
          <a:chExt cx="8889149" cy="228981"/>
        </a:xfrm>
      </xdr:grpSpPr>
      <xdr:sp macro="" textlink="">
        <xdr:nvSpPr>
          <xdr:cNvPr id="42" name="TextBox 41">
            <a:hlinkClick xmlns:r="http://schemas.openxmlformats.org/officeDocument/2006/relationships" r:id="rId4"/>
            <a:extLst>
              <a:ext uri="{FF2B5EF4-FFF2-40B4-BE49-F238E27FC236}">
                <a16:creationId xmlns:a16="http://schemas.microsoft.com/office/drawing/2014/main" id="{00000000-0008-0000-0200-00002A000000}"/>
              </a:ext>
            </a:extLst>
          </xdr:cNvPr>
          <xdr:cNvSpPr txBox="1"/>
        </xdr:nvSpPr>
        <xdr:spPr>
          <a:xfrm>
            <a:off x="2459072" y="819150"/>
            <a:ext cx="1100043" cy="219076"/>
          </a:xfrm>
          <a:prstGeom prst="chevron">
            <a:avLst/>
          </a:prstGeom>
          <a:solidFill>
            <a:schemeClr val="tx2">
              <a:lumMod val="50000"/>
            </a:schemeClr>
          </a:solidFill>
          <a:ln w="9525" cmpd="sng">
            <a:noFill/>
          </a:ln>
          <a:effectLst>
            <a:outerShdw blurRad="127000" dist="63500" dir="2700000" algn="tl" rotWithShape="0">
              <a:schemeClr val="tx2">
                <a:lumMod val="50000"/>
                <a:alpha val="63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Input</a:t>
            </a:r>
            <a:r>
              <a:rPr lang="en-GB" sz="1100" b="1" baseline="0">
                <a:solidFill>
                  <a:schemeClr val="bg1"/>
                </a:solidFill>
              </a:rPr>
              <a:t> Data</a:t>
            </a:r>
            <a:endParaRPr lang="en-GB" sz="1100" b="1">
              <a:solidFill>
                <a:schemeClr val="bg1"/>
              </a:solidFill>
            </a:endParaRPr>
          </a:p>
        </xdr:txBody>
      </xdr:sp>
      <xdr:sp macro="[0]!ProcessInputData" textlink="">
        <xdr:nvSpPr>
          <xdr:cNvPr id="43" name="TextBox 42">
            <a:extLst>
              <a:ext uri="{FF2B5EF4-FFF2-40B4-BE49-F238E27FC236}">
                <a16:creationId xmlns:a16="http://schemas.microsoft.com/office/drawing/2014/main" id="{00000000-0008-0000-0200-00002B000000}"/>
              </a:ext>
            </a:extLst>
          </xdr:cNvPr>
          <xdr:cNvSpPr txBox="1"/>
        </xdr:nvSpPr>
        <xdr:spPr>
          <a:xfrm>
            <a:off x="3486405" y="828675"/>
            <a:ext cx="1137788" cy="219076"/>
          </a:xfrm>
          <a:prstGeom prst="chevron">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bg1"/>
                </a:solidFill>
              </a:rPr>
              <a:t>Select Data</a:t>
            </a:r>
          </a:p>
        </xdr:txBody>
      </xdr:sp>
      <xdr:sp macro="" textlink="">
        <xdr:nvSpPr>
          <xdr:cNvPr id="44" name="TextBox 43">
            <a:hlinkClick xmlns:r="http://schemas.openxmlformats.org/officeDocument/2006/relationships" r:id="rId5"/>
            <a:extLst>
              <a:ext uri="{FF2B5EF4-FFF2-40B4-BE49-F238E27FC236}">
                <a16:creationId xmlns:a16="http://schemas.microsoft.com/office/drawing/2014/main" id="{00000000-0008-0000-0200-00002C000000}"/>
              </a:ext>
            </a:extLst>
          </xdr:cNvPr>
          <xdr:cNvSpPr txBox="1"/>
        </xdr:nvSpPr>
        <xdr:spPr>
          <a:xfrm>
            <a:off x="1251088" y="828675"/>
            <a:ext cx="1273434"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Get Started</a:t>
            </a:r>
          </a:p>
        </xdr:txBody>
      </xdr:sp>
      <xdr:sp macro="" textlink="">
        <xdr:nvSpPr>
          <xdr:cNvPr id="45" name="TextBox 44">
            <a:hlinkClick xmlns:r="http://schemas.openxmlformats.org/officeDocument/2006/relationships" r:id="rId6"/>
            <a:extLst>
              <a:ext uri="{FF2B5EF4-FFF2-40B4-BE49-F238E27FC236}">
                <a16:creationId xmlns:a16="http://schemas.microsoft.com/office/drawing/2014/main" id="{00000000-0008-0000-0200-00002D000000}"/>
              </a:ext>
            </a:extLst>
          </xdr:cNvPr>
          <xdr:cNvSpPr txBox="1"/>
        </xdr:nvSpPr>
        <xdr:spPr>
          <a:xfrm>
            <a:off x="4558317" y="828675"/>
            <a:ext cx="1871970"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Design &amp; Evaluate</a:t>
            </a:r>
          </a:p>
        </xdr:txBody>
      </xdr:sp>
      <xdr:sp macro="" textlink="">
        <xdr:nvSpPr>
          <xdr:cNvPr id="46" name="TextBox 45">
            <a:hlinkClick xmlns:r="http://schemas.openxmlformats.org/officeDocument/2006/relationships" r:id="rId7"/>
            <a:extLst>
              <a:ext uri="{FF2B5EF4-FFF2-40B4-BE49-F238E27FC236}">
                <a16:creationId xmlns:a16="http://schemas.microsoft.com/office/drawing/2014/main" id="{00000000-0008-0000-0200-00002E000000}"/>
              </a:ext>
            </a:extLst>
          </xdr:cNvPr>
          <xdr:cNvSpPr txBox="1"/>
        </xdr:nvSpPr>
        <xdr:spPr>
          <a:xfrm>
            <a:off x="7573901" y="828675"/>
            <a:ext cx="1192984"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Cases</a:t>
            </a:r>
          </a:p>
        </xdr:txBody>
      </xdr:sp>
      <xdr:sp macro="" textlink="">
        <xdr:nvSpPr>
          <xdr:cNvPr id="47" name="TextBox 46">
            <a:hlinkClick xmlns:r="http://schemas.openxmlformats.org/officeDocument/2006/relationships" r:id="rId8"/>
            <a:extLst>
              <a:ext uri="{FF2B5EF4-FFF2-40B4-BE49-F238E27FC236}">
                <a16:creationId xmlns:a16="http://schemas.microsoft.com/office/drawing/2014/main" id="{00000000-0008-0000-0200-00002F000000}"/>
              </a:ext>
            </a:extLst>
          </xdr:cNvPr>
          <xdr:cNvSpPr txBox="1"/>
        </xdr:nvSpPr>
        <xdr:spPr>
          <a:xfrm>
            <a:off x="6344006" y="828675"/>
            <a:ext cx="1312211"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Models</a:t>
            </a:r>
          </a:p>
        </xdr:txBody>
      </xdr:sp>
      <xdr:sp macro="" textlink="">
        <xdr:nvSpPr>
          <xdr:cNvPr id="15" name="TextBox 14">
            <a:hlinkClick xmlns:r="http://schemas.openxmlformats.org/officeDocument/2006/relationships" r:id="rId9"/>
            <a:extLst>
              <a:ext uri="{FF2B5EF4-FFF2-40B4-BE49-F238E27FC236}">
                <a16:creationId xmlns:a16="http://schemas.microsoft.com/office/drawing/2014/main" id="{00000000-0008-0000-0200-00000F000000}"/>
              </a:ext>
            </a:extLst>
          </xdr:cNvPr>
          <xdr:cNvSpPr txBox="1"/>
        </xdr:nvSpPr>
        <xdr:spPr>
          <a:xfrm>
            <a:off x="8693516" y="828675"/>
            <a:ext cx="1446721"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tx2">
                    <a:lumMod val="20000"/>
                    <a:lumOff val="80000"/>
                  </a:schemeClr>
                </a:solidFill>
              </a:rPr>
              <a:t>Compare Models</a:t>
            </a:r>
          </a:p>
        </xdr:txBody>
      </xdr:sp>
    </xdr:grpSp>
    <xdr:clientData/>
  </xdr:twoCellAnchor>
  <xdr:twoCellAnchor editAs="absolute">
    <xdr:from>
      <xdr:col>1</xdr:col>
      <xdr:colOff>409575</xdr:colOff>
      <xdr:row>4</xdr:row>
      <xdr:rowOff>38100</xdr:rowOff>
    </xdr:from>
    <xdr:to>
      <xdr:col>1</xdr:col>
      <xdr:colOff>570437</xdr:colOff>
      <xdr:row>4</xdr:row>
      <xdr:rowOff>182937</xdr:rowOff>
    </xdr:to>
    <xdr:pic macro="[0]!HelpPasteData">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1019175" y="1581150"/>
          <a:ext cx="160862" cy="144837"/>
        </a:xfrm>
        <a:prstGeom prst="rect">
          <a:avLst/>
        </a:prstGeom>
        <a:effectLst>
          <a:outerShdw blurRad="50800" dist="25400" dir="2700000" algn="tl" rotWithShape="0">
            <a:schemeClr val="accent6">
              <a:lumMod val="50000"/>
              <a:alpha val="40000"/>
            </a:schemeClr>
          </a:outerShdw>
        </a:effectLst>
      </xdr:spPr>
    </xdr:pic>
    <xdr:clientData/>
  </xdr:twoCellAnchor>
  <xdr:twoCellAnchor>
    <xdr:from>
      <xdr:col>0</xdr:col>
      <xdr:colOff>228600</xdr:colOff>
      <xdr:row>8</xdr:row>
      <xdr:rowOff>171450</xdr:rowOff>
    </xdr:from>
    <xdr:to>
      <xdr:col>1</xdr:col>
      <xdr:colOff>429000</xdr:colOff>
      <xdr:row>11</xdr:row>
      <xdr:rowOff>95250</xdr:rowOff>
    </xdr:to>
    <xdr:sp macro="[0]!pasteSampleData" textlink="">
      <xdr:nvSpPr>
        <xdr:cNvPr id="22" name="Rectangle 21">
          <a:extLst>
            <a:ext uri="{FF2B5EF4-FFF2-40B4-BE49-F238E27FC236}">
              <a16:creationId xmlns:a16="http://schemas.microsoft.com/office/drawing/2014/main" id="{00000000-0008-0000-0200-000016000000}"/>
            </a:ext>
          </a:extLst>
        </xdr:cNvPr>
        <xdr:cNvSpPr/>
      </xdr:nvSpPr>
      <xdr:spPr>
        <a:xfrm>
          <a:off x="228600" y="2486025"/>
          <a:ext cx="810000" cy="495300"/>
        </a:xfrm>
        <a:prstGeom prst="rect">
          <a:avLst/>
        </a:prstGeom>
        <a:solidFill>
          <a:schemeClr val="accent1"/>
        </a:solidFill>
        <a:ln>
          <a:noFill/>
        </a:ln>
        <a:effectLst>
          <a:outerShdw blurRad="50800" dist="38100" dir="2700000" algn="tl" rotWithShape="0">
            <a:schemeClr val="accent1">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t>Sample</a:t>
          </a:r>
          <a:r>
            <a:rPr lang="en-GB" sz="1100" b="1" baseline="0"/>
            <a:t> Dataset</a:t>
          </a:r>
          <a:endParaRPr lang="en-GB" sz="1100" b="1"/>
        </a:p>
      </xdr:txBody>
    </xdr:sp>
    <xdr:clientData/>
  </xdr:twoCellAnchor>
  <xdr:twoCellAnchor editAs="absolute">
    <xdr:from>
      <xdr:col>1</xdr:col>
      <xdr:colOff>209550</xdr:colOff>
      <xdr:row>9</xdr:row>
      <xdr:rowOff>152400</xdr:rowOff>
    </xdr:from>
    <xdr:to>
      <xdr:col>1</xdr:col>
      <xdr:colOff>370412</xdr:colOff>
      <xdr:row>10</xdr:row>
      <xdr:rowOff>106737</xdr:rowOff>
    </xdr:to>
    <xdr:pic macro="[0]!HelpSampleDataset">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819150" y="2657475"/>
          <a:ext cx="160862" cy="144837"/>
        </a:xfrm>
        <a:prstGeom prst="rect">
          <a:avLst/>
        </a:prstGeom>
        <a:effectLst>
          <a:outerShdw blurRad="50800" dist="25400" dir="2700000" algn="tl" rotWithShape="0">
            <a:schemeClr val="accent1">
              <a:lumMod val="50000"/>
              <a:alpha val="40000"/>
            </a:schemeClr>
          </a:outerShdw>
        </a:effectLst>
      </xdr:spPr>
    </xdr:pic>
    <xdr:clientData/>
  </xdr:twoCellAnchor>
  <xdr:twoCellAnchor>
    <xdr:from>
      <xdr:col>2</xdr:col>
      <xdr:colOff>0</xdr:colOff>
      <xdr:row>0</xdr:row>
      <xdr:rowOff>0</xdr:rowOff>
    </xdr:from>
    <xdr:to>
      <xdr:col>2</xdr:col>
      <xdr:colOff>0</xdr:colOff>
      <xdr:row>0</xdr:row>
      <xdr:rowOff>0</xdr:rowOff>
    </xdr:to>
    <xdr:pic>
      <xdr:nvPicPr>
        <xdr:cNvPr id="3" name="CommandButton1">
          <a:extLst>
            <a:ext uri="{FF2B5EF4-FFF2-40B4-BE49-F238E27FC236}">
              <a16:creationId xmlns:a16="http://schemas.microsoft.com/office/drawing/2014/main" id="{00000000-0008-0000-0200-00000300000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23975" y="0"/>
          <a:ext cx="0" cy="0"/>
        </a:xfrm>
        <a:prstGeom prst="rect">
          <a:avLst/>
        </a:prstGeom>
        <a:noFill/>
        <a:ln>
          <a:noFill/>
        </a:ln>
        <a:effectLst>
          <a:outerShdw dist="35921" dir="2700000" algn="ctr" rotWithShape="0">
            <a:srgbClr val="000000"/>
          </a:outerShdw>
        </a:effectLst>
        <a:extLst>
          <a:ext uri="{91240B29-F687-4F45-9708-019B960494DF}">
            <a14:hiddenLine xmlns:a14="http://schemas.microsoft.com/office/drawing/2010/main" w="9525">
              <a:noFill/>
              <a:miter lim="800000"/>
              <a:headEnd/>
              <a:tailEnd/>
            </a14:hiddenLine>
          </a:ext>
          <a:ext uri="{53640926-AAD7-44D8-BBD7-CCE9431645EC}">
            <a14:shadowObscured xmlns:a14="http://schemas.microsoft.com/office/drawing/2010/main" val="1"/>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466725</xdr:colOff>
      <xdr:row>2</xdr:row>
      <xdr:rowOff>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076325" cy="1076325"/>
        </a:xfrm>
        <a:prstGeom prst="rect">
          <a:avLst/>
        </a:prstGeom>
      </xdr:spPr>
    </xdr:pic>
    <xdr:clientData/>
  </xdr:twoCellAnchor>
  <xdr:twoCellAnchor editAs="absolute">
    <xdr:from>
      <xdr:col>1</xdr:col>
      <xdr:colOff>600074</xdr:colOff>
      <xdr:row>0</xdr:row>
      <xdr:rowOff>247650</xdr:rowOff>
    </xdr:from>
    <xdr:to>
      <xdr:col>5</xdr:col>
      <xdr:colOff>314422</xdr:colOff>
      <xdr:row>0</xdr:row>
      <xdr:rowOff>561975</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1209674" y="247650"/>
          <a:ext cx="3143251" cy="314325"/>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400" b="1" u="none" baseline="0"/>
            <a:t>Select Data</a:t>
          </a:r>
          <a:endParaRPr lang="en-GB" sz="2400" b="1" u="sng"/>
        </a:p>
      </xdr:txBody>
    </xdr:sp>
    <xdr:clientData/>
  </xdr:twoCellAnchor>
  <xdr:twoCellAnchor editAs="absolute">
    <xdr:from>
      <xdr:col>3</xdr:col>
      <xdr:colOff>674427</xdr:colOff>
      <xdr:row>0</xdr:row>
      <xdr:rowOff>323850</xdr:rowOff>
    </xdr:from>
    <xdr:to>
      <xdr:col>3</xdr:col>
      <xdr:colOff>856641</xdr:colOff>
      <xdr:row>0</xdr:row>
      <xdr:rowOff>492200</xdr:rowOff>
    </xdr:to>
    <xdr:pic macro="[0]!HelpSelectData">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2876550" y="323850"/>
          <a:ext cx="182214" cy="168350"/>
        </a:xfrm>
        <a:prstGeom prst="rect">
          <a:avLst/>
        </a:prstGeom>
        <a:effectLst>
          <a:outerShdw blurRad="50800" dist="38100" dir="2700000" algn="tl" rotWithShape="0">
            <a:schemeClr val="accent1">
              <a:lumMod val="50000"/>
              <a:alpha val="40000"/>
            </a:schemeClr>
          </a:outerShdw>
        </a:effectLst>
      </xdr:spPr>
    </xdr:pic>
    <xdr:clientData/>
  </xdr:twoCellAnchor>
  <xdr:twoCellAnchor editAs="absolute">
    <xdr:from>
      <xdr:col>7</xdr:col>
      <xdr:colOff>300037</xdr:colOff>
      <xdr:row>2</xdr:row>
      <xdr:rowOff>153020</xdr:rowOff>
    </xdr:from>
    <xdr:to>
      <xdr:col>8</xdr:col>
      <xdr:colOff>580231</xdr:colOff>
      <xdr:row>4</xdr:row>
      <xdr:rowOff>54390</xdr:rowOff>
    </xdr:to>
    <xdr:sp macro="[0]!showAttributeOptimizer" textlink="">
      <xdr:nvSpPr>
        <xdr:cNvPr id="17" name="Rectangle 16">
          <a:extLst>
            <a:ext uri="{FF2B5EF4-FFF2-40B4-BE49-F238E27FC236}">
              <a16:creationId xmlns:a16="http://schemas.microsoft.com/office/drawing/2014/main" id="{00000000-0008-0000-0300-000011000000}"/>
            </a:ext>
          </a:extLst>
        </xdr:cNvPr>
        <xdr:cNvSpPr/>
      </xdr:nvSpPr>
      <xdr:spPr>
        <a:xfrm>
          <a:off x="7419975" y="1229345"/>
          <a:ext cx="1774031" cy="282370"/>
        </a:xfrm>
        <a:prstGeom prst="rect">
          <a:avLst/>
        </a:prstGeom>
        <a:solidFill>
          <a:schemeClr val="accent6">
            <a:lumMod val="75000"/>
          </a:schemeClr>
        </a:solidFill>
        <a:ln>
          <a:noFill/>
        </a:ln>
        <a:effectLst>
          <a:outerShdw blurRad="50800" dist="38100" dir="2700000" algn="tl" rotWithShape="0">
            <a:schemeClr val="accent6">
              <a:lumMod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t>Find optimal</a:t>
          </a:r>
          <a:r>
            <a:rPr lang="en-GB" sz="1100" b="1" baseline="0"/>
            <a:t> attributes</a:t>
          </a:r>
          <a:endParaRPr lang="en-GB" sz="1100" b="1"/>
        </a:p>
      </xdr:txBody>
    </xdr:sp>
    <xdr:clientData/>
  </xdr:twoCellAnchor>
  <xdr:twoCellAnchor editAs="absolute">
    <xdr:from>
      <xdr:col>8</xdr:col>
      <xdr:colOff>311150</xdr:colOff>
      <xdr:row>3</xdr:row>
      <xdr:rowOff>29026</xdr:rowOff>
    </xdr:from>
    <xdr:to>
      <xdr:col>8</xdr:col>
      <xdr:colOff>472012</xdr:colOff>
      <xdr:row>3</xdr:row>
      <xdr:rowOff>178385</xdr:rowOff>
    </xdr:to>
    <xdr:pic macro="[0]!HelpOptimizeAttributes">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4" cstate="print">
          <a:biLevel thresh="25000"/>
          <a:extLst>
            <a:ext uri="{28A0092B-C50C-407E-A947-70E740481C1C}">
              <a14:useLocalDpi xmlns:a14="http://schemas.microsoft.com/office/drawing/2010/main" val="0"/>
            </a:ext>
          </a:extLst>
        </a:blip>
        <a:stretch>
          <a:fillRect/>
        </a:stretch>
      </xdr:blipFill>
      <xdr:spPr>
        <a:xfrm>
          <a:off x="8924925" y="1295851"/>
          <a:ext cx="160862" cy="149359"/>
        </a:xfrm>
        <a:prstGeom prst="rect">
          <a:avLst/>
        </a:prstGeom>
        <a:effectLst>
          <a:outerShdw blurRad="50800" dist="25400" dir="2700000" algn="tl" rotWithShape="0">
            <a:schemeClr val="accent6">
              <a:lumMod val="50000"/>
              <a:alpha val="40000"/>
            </a:schemeClr>
          </a:outerShdw>
        </a:effectLst>
      </xdr:spPr>
    </xdr:pic>
    <xdr:clientData/>
  </xdr:twoCellAnchor>
  <xdr:twoCellAnchor editAs="absolute">
    <xdr:from>
      <xdr:col>8</xdr:col>
      <xdr:colOff>711200</xdr:colOff>
      <xdr:row>2</xdr:row>
      <xdr:rowOff>153020</xdr:rowOff>
    </xdr:from>
    <xdr:to>
      <xdr:col>9</xdr:col>
      <xdr:colOff>207262</xdr:colOff>
      <xdr:row>4</xdr:row>
      <xdr:rowOff>54390</xdr:rowOff>
    </xdr:to>
    <xdr:sp macro="[0]!SortByConfigurations" textlink="">
      <xdr:nvSpPr>
        <xdr:cNvPr id="18" name="Rectangle 17">
          <a:extLst>
            <a:ext uri="{FF2B5EF4-FFF2-40B4-BE49-F238E27FC236}">
              <a16:creationId xmlns:a16="http://schemas.microsoft.com/office/drawing/2014/main" id="{00000000-0008-0000-0300-000012000000}"/>
            </a:ext>
          </a:extLst>
        </xdr:cNvPr>
        <xdr:cNvSpPr/>
      </xdr:nvSpPr>
      <xdr:spPr>
        <a:xfrm>
          <a:off x="9324975" y="1229345"/>
          <a:ext cx="1775712" cy="282370"/>
        </a:xfrm>
        <a:prstGeom prst="rect">
          <a:avLst/>
        </a:prstGeom>
        <a:solidFill>
          <a:schemeClr val="accent6">
            <a:lumMod val="75000"/>
          </a:schemeClr>
        </a:solidFill>
        <a:ln>
          <a:noFill/>
        </a:ln>
        <a:effectLst>
          <a:outerShdw blurRad="50800" dist="38100" dir="2700000" algn="tl" rotWithShape="0">
            <a:schemeClr val="accent6">
              <a:lumMod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t>Sort</a:t>
          </a:r>
          <a:r>
            <a:rPr lang="en-GB" sz="1100" b="1" baseline="0"/>
            <a:t> by configurations</a:t>
          </a:r>
          <a:endParaRPr lang="en-GB" sz="1100" b="1"/>
        </a:p>
      </xdr:txBody>
    </xdr:sp>
    <xdr:clientData/>
  </xdr:twoCellAnchor>
  <xdr:twoCellAnchor editAs="absolute">
    <xdr:from>
      <xdr:col>8</xdr:col>
      <xdr:colOff>1670050</xdr:colOff>
      <xdr:row>3</xdr:row>
      <xdr:rowOff>29026</xdr:rowOff>
    </xdr:from>
    <xdr:to>
      <xdr:col>9</xdr:col>
      <xdr:colOff>60325</xdr:colOff>
      <xdr:row>3</xdr:row>
      <xdr:rowOff>178385</xdr:rowOff>
    </xdr:to>
    <xdr:pic macro="[0]!HelpSortByConfigurations">
      <xdr:nvPicPr>
        <xdr:cNvPr id="21" name="Picture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4" cstate="print">
          <a:biLevel thresh="25000"/>
          <a:extLst>
            <a:ext uri="{28A0092B-C50C-407E-A947-70E740481C1C}">
              <a14:useLocalDpi xmlns:a14="http://schemas.microsoft.com/office/drawing/2010/main" val="0"/>
            </a:ext>
          </a:extLst>
        </a:blip>
        <a:stretch>
          <a:fillRect/>
        </a:stretch>
      </xdr:blipFill>
      <xdr:spPr>
        <a:xfrm>
          <a:off x="10801350" y="1295851"/>
          <a:ext cx="160862" cy="149359"/>
        </a:xfrm>
        <a:prstGeom prst="rect">
          <a:avLst/>
        </a:prstGeom>
        <a:effectLst>
          <a:outerShdw blurRad="50800" dist="25400" dir="2700000" algn="tl" rotWithShape="0">
            <a:schemeClr val="accent6">
              <a:lumMod val="50000"/>
              <a:alpha val="40000"/>
            </a:schemeClr>
          </a:outerShdw>
        </a:effectLst>
      </xdr:spPr>
    </xdr:pic>
    <xdr:clientData/>
  </xdr:twoCellAnchor>
  <xdr:twoCellAnchor editAs="absolute">
    <xdr:from>
      <xdr:col>1</xdr:col>
      <xdr:colOff>409014</xdr:colOff>
      <xdr:row>2</xdr:row>
      <xdr:rowOff>161926</xdr:rowOff>
    </xdr:from>
    <xdr:to>
      <xdr:col>3</xdr:col>
      <xdr:colOff>388387</xdr:colOff>
      <xdr:row>4</xdr:row>
      <xdr:rowOff>45486</xdr:rowOff>
    </xdr:to>
    <xdr:grpSp>
      <xdr:nvGrpSpPr>
        <xdr:cNvPr id="40" name="Group 39">
          <a:extLst>
            <a:ext uri="{FF2B5EF4-FFF2-40B4-BE49-F238E27FC236}">
              <a16:creationId xmlns:a16="http://schemas.microsoft.com/office/drawing/2014/main" id="{00000000-0008-0000-0300-000028000000}"/>
            </a:ext>
          </a:extLst>
        </xdr:cNvPr>
        <xdr:cNvGrpSpPr/>
      </xdr:nvGrpSpPr>
      <xdr:grpSpPr>
        <a:xfrm>
          <a:off x="1018614" y="1238251"/>
          <a:ext cx="1608148" cy="264560"/>
          <a:chOff x="1019735" y="1237691"/>
          <a:chExt cx="1576491" cy="264560"/>
        </a:xfrm>
      </xdr:grpSpPr>
      <xdr:pic macro="[0]!HelpConfigCount">
        <xdr:nvPicPr>
          <xdr:cNvPr id="20" name="Pictur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2412626" y="1285795"/>
            <a:ext cx="183600" cy="169631"/>
          </a:xfrm>
          <a:prstGeom prst="rect">
            <a:avLst/>
          </a:prstGeom>
        </xdr:spPr>
      </xdr:pic>
      <xdr:sp macro="" textlink="attributeConfigCount">
        <xdr:nvSpPr>
          <xdr:cNvPr id="3" name="attributeConfigCount">
            <a:extLst>
              <a:ext uri="{FF2B5EF4-FFF2-40B4-BE49-F238E27FC236}">
                <a16:creationId xmlns:a16="http://schemas.microsoft.com/office/drawing/2014/main" id="{00000000-0008-0000-0300-000003000000}"/>
              </a:ext>
            </a:extLst>
          </xdr:cNvPr>
          <xdr:cNvSpPr txBox="1"/>
        </xdr:nvSpPr>
        <xdr:spPr>
          <a:xfrm>
            <a:off x="1882652" y="1237691"/>
            <a:ext cx="49459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9178E4FC-55B3-4E91-82D7-DD475A5EB22E}" type="TxLink">
              <a:rPr lang="en-US" sz="1100" b="0" i="0" u="none" strike="noStrike">
                <a:solidFill>
                  <a:srgbClr val="1F497D"/>
                </a:solidFill>
                <a:latin typeface="Calibri"/>
                <a:cs typeface="Calibri"/>
              </a:rPr>
              <a:pPr algn="r"/>
              <a:t>#REF!</a:t>
            </a:fld>
            <a:endParaRPr lang="en-GB" sz="1100"/>
          </a:p>
        </xdr:txBody>
      </xdr:sp>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019735" y="1237691"/>
            <a:ext cx="107016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GB" sz="1100">
                <a:solidFill>
                  <a:schemeClr val="accent1">
                    <a:lumMod val="50000"/>
                  </a:schemeClr>
                </a:solidFill>
              </a:rPr>
              <a:t>Configurations:</a:t>
            </a:r>
          </a:p>
        </xdr:txBody>
      </xdr:sp>
    </xdr:grpSp>
    <xdr:clientData/>
  </xdr:twoCellAnchor>
  <xdr:twoCellAnchor editAs="absolute">
    <xdr:from>
      <xdr:col>3</xdr:col>
      <xdr:colOff>410660</xdr:colOff>
      <xdr:row>2</xdr:row>
      <xdr:rowOff>161925</xdr:rowOff>
    </xdr:from>
    <xdr:to>
      <xdr:col>5</xdr:col>
      <xdr:colOff>129826</xdr:colOff>
      <xdr:row>4</xdr:row>
      <xdr:rowOff>45485</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2649035" y="1238250"/>
          <a:ext cx="1547966" cy="264560"/>
          <a:chOff x="2615698" y="1236889"/>
          <a:chExt cx="1530277" cy="264560"/>
        </a:xfrm>
      </xdr:grpSpPr>
      <xdr:pic macro="[0]!HelpConsistency">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3963599" y="1284994"/>
            <a:ext cx="182376" cy="168350"/>
          </a:xfrm>
          <a:prstGeom prst="rect">
            <a:avLst/>
          </a:prstGeom>
          <a:effectLst/>
        </xdr:spPr>
      </xdr:pic>
      <xdr:sp macro="" textlink="data_consistency">
        <xdr:nvSpPr>
          <xdr:cNvPr id="5" name="TextBox 4">
            <a:extLst>
              <a:ext uri="{FF2B5EF4-FFF2-40B4-BE49-F238E27FC236}">
                <a16:creationId xmlns:a16="http://schemas.microsoft.com/office/drawing/2014/main" id="{00000000-0008-0000-0300-000005000000}"/>
              </a:ext>
            </a:extLst>
          </xdr:cNvPr>
          <xdr:cNvSpPr txBox="1"/>
        </xdr:nvSpPr>
        <xdr:spPr>
          <a:xfrm>
            <a:off x="3448791" y="1236889"/>
            <a:ext cx="5004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B5D4A878-771F-4FBF-9D6F-D169A2B64C85}" type="TxLink">
              <a:rPr lang="en-US" sz="1100" b="0" i="0" u="none" strike="noStrike">
                <a:solidFill>
                  <a:srgbClr val="1F497D"/>
                </a:solidFill>
                <a:latin typeface="Calibri"/>
              </a:rPr>
              <a:pPr/>
              <a:t>#REF!</a:t>
            </a:fld>
            <a:endParaRPr lang="en-GB" sz="1100"/>
          </a:p>
        </xdr:txBody>
      </xdr:sp>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2615698" y="1236889"/>
            <a:ext cx="90470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GB" sz="1100">
                <a:solidFill>
                  <a:schemeClr val="accent1">
                    <a:lumMod val="50000"/>
                  </a:schemeClr>
                </a:solidFill>
              </a:rPr>
              <a:t>Consistency:</a:t>
            </a:r>
          </a:p>
        </xdr:txBody>
      </xdr:sp>
    </xdr:grpSp>
    <xdr:clientData/>
  </xdr:twoCellAnchor>
  <xdr:twoCellAnchor editAs="absolute">
    <xdr:from>
      <xdr:col>5</xdr:col>
      <xdr:colOff>213844</xdr:colOff>
      <xdr:row>2</xdr:row>
      <xdr:rowOff>161925</xdr:rowOff>
    </xdr:from>
    <xdr:to>
      <xdr:col>6</xdr:col>
      <xdr:colOff>376672</xdr:colOff>
      <xdr:row>4</xdr:row>
      <xdr:rowOff>45485</xdr:rowOff>
    </xdr:to>
    <xdr:grpSp>
      <xdr:nvGrpSpPr>
        <xdr:cNvPr id="34" name="Group 33">
          <a:extLst>
            <a:ext uri="{FF2B5EF4-FFF2-40B4-BE49-F238E27FC236}">
              <a16:creationId xmlns:a16="http://schemas.microsoft.com/office/drawing/2014/main" id="{00000000-0008-0000-0300-000022000000}"/>
            </a:ext>
          </a:extLst>
        </xdr:cNvPr>
        <xdr:cNvGrpSpPr/>
      </xdr:nvGrpSpPr>
      <xdr:grpSpPr>
        <a:xfrm>
          <a:off x="4281019" y="1238250"/>
          <a:ext cx="1343928" cy="264560"/>
          <a:chOff x="4228632" y="1238250"/>
          <a:chExt cx="1337909" cy="264560"/>
        </a:xfrm>
      </xdr:grpSpPr>
      <xdr:pic macro="[0]!HelpCoverage">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5364467" y="1284995"/>
            <a:ext cx="183600" cy="150687"/>
          </a:xfrm>
          <a:prstGeom prst="rect">
            <a:avLst/>
          </a:prstGeom>
        </xdr:spPr>
      </xdr:pic>
      <xdr:sp macro="" textlink="data_diversity">
        <xdr:nvSpPr>
          <xdr:cNvPr id="7" name="TextBox 6">
            <a:extLst>
              <a:ext uri="{FF2B5EF4-FFF2-40B4-BE49-F238E27FC236}">
                <a16:creationId xmlns:a16="http://schemas.microsoft.com/office/drawing/2014/main" id="{00000000-0008-0000-0300-000007000000}"/>
              </a:ext>
            </a:extLst>
          </xdr:cNvPr>
          <xdr:cNvSpPr txBox="1"/>
        </xdr:nvSpPr>
        <xdr:spPr>
          <a:xfrm>
            <a:off x="4959651" y="1236889"/>
            <a:ext cx="50225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E38D7D8D-7048-4DF4-AC59-3C3DF9B04C13}" type="TxLink">
              <a:rPr lang="en-US" sz="1100" b="0" i="0" u="none" strike="noStrike">
                <a:solidFill>
                  <a:srgbClr val="1F497D"/>
                </a:solidFill>
                <a:latin typeface="Calibri"/>
              </a:rPr>
              <a:pPr/>
              <a:t>#REF!</a:t>
            </a:fld>
            <a:endParaRPr lang="en-GB" sz="1100"/>
          </a:p>
        </xdr:txBody>
      </xdr:sp>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4229993" y="1236889"/>
            <a:ext cx="81434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GB" sz="1100">
                <a:solidFill>
                  <a:schemeClr val="accent1">
                    <a:lumMod val="50000"/>
                  </a:schemeClr>
                </a:solidFill>
              </a:rPr>
              <a:t>Diversity:</a:t>
            </a:r>
          </a:p>
        </xdr:txBody>
      </xdr:sp>
    </xdr:grpSp>
    <xdr:clientData/>
  </xdr:twoCellAnchor>
  <xdr:twoCellAnchor editAs="absolute">
    <xdr:from>
      <xdr:col>1</xdr:col>
      <xdr:colOff>638174</xdr:colOff>
      <xdr:row>1</xdr:row>
      <xdr:rowOff>47624</xdr:rowOff>
    </xdr:from>
    <xdr:to>
      <xdr:col>8</xdr:col>
      <xdr:colOff>1208225</xdr:colOff>
      <xdr:row>1</xdr:row>
      <xdr:rowOff>276606</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1247774" y="809624"/>
          <a:ext cx="8732976" cy="228982"/>
          <a:chOff x="1247774" y="809624"/>
          <a:chExt cx="8764726" cy="228982"/>
        </a:xfrm>
      </xdr:grpSpPr>
      <xdr:sp macro="" textlink="">
        <xdr:nvSpPr>
          <xdr:cNvPr id="23" name="TextBox 22">
            <a:hlinkClick xmlns:r="http://schemas.openxmlformats.org/officeDocument/2006/relationships" r:id="rId5"/>
            <a:extLst>
              <a:ext uri="{FF2B5EF4-FFF2-40B4-BE49-F238E27FC236}">
                <a16:creationId xmlns:a16="http://schemas.microsoft.com/office/drawing/2014/main" id="{00000000-0008-0000-0300-000017000000}"/>
              </a:ext>
            </a:extLst>
          </xdr:cNvPr>
          <xdr:cNvSpPr txBox="1"/>
        </xdr:nvSpPr>
        <xdr:spPr>
          <a:xfrm>
            <a:off x="2438133" y="819149"/>
            <a:ext cx="1076726" cy="219075"/>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tx2">
                    <a:lumMod val="20000"/>
                    <a:lumOff val="80000"/>
                  </a:schemeClr>
                </a:solidFill>
              </a:rPr>
              <a:t>Input</a:t>
            </a:r>
            <a:r>
              <a:rPr lang="en-GB" sz="1100" b="0" baseline="0">
                <a:solidFill>
                  <a:schemeClr val="tx2">
                    <a:lumMod val="20000"/>
                    <a:lumOff val="80000"/>
                  </a:schemeClr>
                </a:solidFill>
              </a:rPr>
              <a:t> Data</a:t>
            </a:r>
            <a:endParaRPr lang="en-GB" sz="1100" b="0">
              <a:solidFill>
                <a:schemeClr val="tx2">
                  <a:lumMod val="20000"/>
                  <a:lumOff val="80000"/>
                </a:schemeClr>
              </a:solidFill>
            </a:endParaRPr>
          </a:p>
        </xdr:txBody>
      </xdr:sp>
      <xdr:sp macro="" textlink="">
        <xdr:nvSpPr>
          <xdr:cNvPr id="24" name="TextBox 23">
            <a:hlinkClick xmlns:r="http://schemas.openxmlformats.org/officeDocument/2006/relationships" r:id="rId6"/>
            <a:extLst>
              <a:ext uri="{FF2B5EF4-FFF2-40B4-BE49-F238E27FC236}">
                <a16:creationId xmlns:a16="http://schemas.microsoft.com/office/drawing/2014/main" id="{00000000-0008-0000-0300-000018000000}"/>
              </a:ext>
            </a:extLst>
          </xdr:cNvPr>
          <xdr:cNvSpPr txBox="1"/>
        </xdr:nvSpPr>
        <xdr:spPr>
          <a:xfrm>
            <a:off x="3443259" y="809624"/>
            <a:ext cx="1113895" cy="219075"/>
          </a:xfrm>
          <a:prstGeom prst="chevron">
            <a:avLst/>
          </a:prstGeom>
          <a:solidFill>
            <a:schemeClr val="tx2">
              <a:lumMod val="50000"/>
            </a:schemeClr>
          </a:solidFill>
          <a:ln w="9525" cmpd="sng">
            <a:noFill/>
          </a:ln>
          <a:effectLst>
            <a:outerShdw blurRad="139700" dist="63500" dir="2700000" algn="tl" rotWithShape="0">
              <a:schemeClr val="tx2">
                <a:lumMod val="50000"/>
                <a:alpha val="63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Select Data</a:t>
            </a:r>
          </a:p>
        </xdr:txBody>
      </xdr:sp>
      <xdr:sp macro="" textlink="">
        <xdr:nvSpPr>
          <xdr:cNvPr id="25" name="TextBox 24">
            <a:hlinkClick xmlns:r="http://schemas.openxmlformats.org/officeDocument/2006/relationships" r:id="rId7"/>
            <a:extLst>
              <a:ext uri="{FF2B5EF4-FFF2-40B4-BE49-F238E27FC236}">
                <a16:creationId xmlns:a16="http://schemas.microsoft.com/office/drawing/2014/main" id="{00000000-0008-0000-0300-000019000000}"/>
              </a:ext>
            </a:extLst>
          </xdr:cNvPr>
          <xdr:cNvSpPr txBox="1"/>
        </xdr:nvSpPr>
        <xdr:spPr>
          <a:xfrm>
            <a:off x="1247774" y="819149"/>
            <a:ext cx="1254810" cy="219075"/>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Get Started</a:t>
            </a:r>
          </a:p>
        </xdr:txBody>
      </xdr:sp>
      <xdr:sp macro="[0]!DesignModel" textlink="">
        <xdr:nvSpPr>
          <xdr:cNvPr id="26" name="TextBox 25">
            <a:extLst>
              <a:ext uri="{FF2B5EF4-FFF2-40B4-BE49-F238E27FC236}">
                <a16:creationId xmlns:a16="http://schemas.microsoft.com/office/drawing/2014/main" id="{00000000-0008-0000-0300-00001A000000}"/>
              </a:ext>
            </a:extLst>
          </xdr:cNvPr>
          <xdr:cNvSpPr txBox="1"/>
        </xdr:nvSpPr>
        <xdr:spPr>
          <a:xfrm>
            <a:off x="4492283" y="819149"/>
            <a:ext cx="1833606" cy="219075"/>
          </a:xfrm>
          <a:prstGeom prst="chevron">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bg1"/>
                </a:solidFill>
              </a:rPr>
              <a:t>Design &amp; Evaluate</a:t>
            </a:r>
          </a:p>
        </xdr:txBody>
      </xdr:sp>
      <xdr:sp macro="" textlink="">
        <xdr:nvSpPr>
          <xdr:cNvPr id="27" name="TextBox 26">
            <a:hlinkClick xmlns:r="http://schemas.openxmlformats.org/officeDocument/2006/relationships" r:id="rId8"/>
            <a:extLst>
              <a:ext uri="{FF2B5EF4-FFF2-40B4-BE49-F238E27FC236}">
                <a16:creationId xmlns:a16="http://schemas.microsoft.com/office/drawing/2014/main" id="{00000000-0008-0000-0300-00001B000000}"/>
              </a:ext>
            </a:extLst>
          </xdr:cNvPr>
          <xdr:cNvSpPr txBox="1"/>
        </xdr:nvSpPr>
        <xdr:spPr>
          <a:xfrm>
            <a:off x="7466731" y="819149"/>
            <a:ext cx="1168248" cy="219075"/>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Cases</a:t>
            </a:r>
          </a:p>
        </xdr:txBody>
      </xdr:sp>
      <xdr:sp macro="" textlink="">
        <xdr:nvSpPr>
          <xdr:cNvPr id="28" name="TextBox 27">
            <a:hlinkClick xmlns:r="http://schemas.openxmlformats.org/officeDocument/2006/relationships" r:id="rId9"/>
            <a:extLst>
              <a:ext uri="{FF2B5EF4-FFF2-40B4-BE49-F238E27FC236}">
                <a16:creationId xmlns:a16="http://schemas.microsoft.com/office/drawing/2014/main" id="{00000000-0008-0000-0300-00001C000000}"/>
              </a:ext>
            </a:extLst>
          </xdr:cNvPr>
          <xdr:cNvSpPr txBox="1"/>
        </xdr:nvSpPr>
        <xdr:spPr>
          <a:xfrm>
            <a:off x="6256356" y="819149"/>
            <a:ext cx="1282393" cy="219075"/>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Models</a:t>
            </a:r>
          </a:p>
        </xdr:txBody>
      </xdr:sp>
      <xdr:sp macro="" textlink="">
        <xdr:nvSpPr>
          <xdr:cNvPr id="31" name="TextBox 30">
            <a:hlinkClick xmlns:r="http://schemas.openxmlformats.org/officeDocument/2006/relationships" r:id="rId10"/>
            <a:extLst>
              <a:ext uri="{FF2B5EF4-FFF2-40B4-BE49-F238E27FC236}">
                <a16:creationId xmlns:a16="http://schemas.microsoft.com/office/drawing/2014/main" id="{00000000-0008-0000-0300-00001F000000}"/>
              </a:ext>
            </a:extLst>
          </xdr:cNvPr>
          <xdr:cNvSpPr txBox="1"/>
        </xdr:nvSpPr>
        <xdr:spPr>
          <a:xfrm>
            <a:off x="8572500" y="819150"/>
            <a:ext cx="1440000"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tx2">
                    <a:lumMod val="20000"/>
                    <a:lumOff val="80000"/>
                  </a:schemeClr>
                </a:solidFill>
              </a:rPr>
              <a:t>Compare Models</a:t>
            </a:r>
          </a:p>
        </xdr:txBody>
      </xdr:sp>
    </xdr:grpSp>
    <xdr:clientData/>
  </xdr:twoCellAnchor>
  <xdr:twoCellAnchor editAs="absolute">
    <xdr:from>
      <xdr:col>6</xdr:col>
      <xdr:colOff>438150</xdr:colOff>
      <xdr:row>2</xdr:row>
      <xdr:rowOff>142142</xdr:rowOff>
    </xdr:from>
    <xdr:to>
      <xdr:col>6</xdr:col>
      <xdr:colOff>1754071</xdr:colOff>
      <xdr:row>4</xdr:row>
      <xdr:rowOff>25702</xdr:rowOff>
    </xdr:to>
    <xdr:grpSp>
      <xdr:nvGrpSpPr>
        <xdr:cNvPr id="22" name="Group 21">
          <a:extLst>
            <a:ext uri="{FF2B5EF4-FFF2-40B4-BE49-F238E27FC236}">
              <a16:creationId xmlns:a16="http://schemas.microsoft.com/office/drawing/2014/main" id="{00000000-0008-0000-0300-000016000000}"/>
            </a:ext>
          </a:extLst>
        </xdr:cNvPr>
        <xdr:cNvGrpSpPr/>
      </xdr:nvGrpSpPr>
      <xdr:grpSpPr>
        <a:xfrm>
          <a:off x="5686425" y="1218467"/>
          <a:ext cx="1315921" cy="264560"/>
          <a:chOff x="5615174" y="1238983"/>
          <a:chExt cx="1417823" cy="264560"/>
        </a:xfrm>
      </xdr:grpSpPr>
      <xdr:pic macro="[0]!HelpPercentageMissingData">
        <xdr:nvPicPr>
          <xdr:cNvPr id="37" name="Picture 36">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6850783" y="1287088"/>
            <a:ext cx="182214" cy="168350"/>
          </a:xfrm>
          <a:prstGeom prst="rect">
            <a:avLst/>
          </a:prstGeom>
        </xdr:spPr>
      </xdr:pic>
      <xdr:sp macro="" textlink="Missing_Data">
        <xdr:nvSpPr>
          <xdr:cNvPr id="38" name="TextBox 37">
            <a:extLst>
              <a:ext uri="{FF2B5EF4-FFF2-40B4-BE49-F238E27FC236}">
                <a16:creationId xmlns:a16="http://schemas.microsoft.com/office/drawing/2014/main" id="{00000000-0008-0000-0300-000026000000}"/>
              </a:ext>
            </a:extLst>
          </xdr:cNvPr>
          <xdr:cNvSpPr txBox="1"/>
        </xdr:nvSpPr>
        <xdr:spPr>
          <a:xfrm>
            <a:off x="6493595" y="1238983"/>
            <a:ext cx="357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64AB5D9B-3D82-46BA-950F-546FEC9951E8}" type="TxLink">
              <a:rPr lang="en-US" sz="1100" b="0" i="0" u="none" strike="noStrike">
                <a:solidFill>
                  <a:schemeClr val="accent1">
                    <a:lumMod val="50000"/>
                  </a:schemeClr>
                </a:solidFill>
                <a:latin typeface="Calibri"/>
                <a:cs typeface="Calibri"/>
              </a:rPr>
              <a:pPr/>
              <a:t>0%</a:t>
            </a:fld>
            <a:endParaRPr lang="en-US" sz="1100" b="0" i="0" u="none" strike="noStrike">
              <a:solidFill>
                <a:schemeClr val="accent1">
                  <a:lumMod val="50000"/>
                </a:schemeClr>
              </a:solidFill>
              <a:latin typeface="Calibri"/>
            </a:endParaRPr>
          </a:p>
        </xdr:txBody>
      </xdr:sp>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5615174" y="1238983"/>
            <a:ext cx="94412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GB" sz="1100">
                <a:solidFill>
                  <a:schemeClr val="accent1">
                    <a:lumMod val="50000"/>
                  </a:schemeClr>
                </a:solidFill>
              </a:rPr>
              <a:t>Missing data:</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1076325</xdr:colOff>
      <xdr:row>2</xdr:row>
      <xdr:rowOff>0</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076325" cy="1076325"/>
        </a:xfrm>
        <a:prstGeom prst="rect">
          <a:avLst/>
        </a:prstGeom>
      </xdr:spPr>
    </xdr:pic>
    <xdr:clientData/>
  </xdr:twoCellAnchor>
  <xdr:twoCellAnchor editAs="absolute">
    <xdr:from>
      <xdr:col>0</xdr:col>
      <xdr:colOff>1190624</xdr:colOff>
      <xdr:row>0</xdr:row>
      <xdr:rowOff>228600</xdr:rowOff>
    </xdr:from>
    <xdr:to>
      <xdr:col>5</xdr:col>
      <xdr:colOff>983190</xdr:colOff>
      <xdr:row>0</xdr:row>
      <xdr:rowOff>542925</xdr:rowOff>
    </xdr:to>
    <xdr:sp macro="" textlink="">
      <xdr:nvSpPr>
        <xdr:cNvPr id="11" name="Rectangle 10">
          <a:extLst>
            <a:ext uri="{FF2B5EF4-FFF2-40B4-BE49-F238E27FC236}">
              <a16:creationId xmlns:a16="http://schemas.microsoft.com/office/drawing/2014/main" id="{00000000-0008-0000-0500-00000B000000}"/>
            </a:ext>
          </a:extLst>
        </xdr:cNvPr>
        <xdr:cNvSpPr/>
      </xdr:nvSpPr>
      <xdr:spPr>
        <a:xfrm>
          <a:off x="1190624" y="228600"/>
          <a:ext cx="5129213" cy="314325"/>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400" b="1" u="none" baseline="0"/>
            <a:t>Design &amp; Evaluate</a:t>
          </a:r>
          <a:endParaRPr lang="en-GB" sz="2400" b="1" u="sng"/>
        </a:p>
      </xdr:txBody>
    </xdr:sp>
    <xdr:clientData/>
  </xdr:twoCellAnchor>
  <xdr:twoCellAnchor editAs="oneCell">
    <xdr:from>
      <xdr:col>5</xdr:col>
      <xdr:colOff>903839</xdr:colOff>
      <xdr:row>5</xdr:row>
      <xdr:rowOff>221191</xdr:rowOff>
    </xdr:from>
    <xdr:to>
      <xdr:col>5</xdr:col>
      <xdr:colOff>1086053</xdr:colOff>
      <xdr:row>5</xdr:row>
      <xdr:rowOff>389541</xdr:rowOff>
    </xdr:to>
    <xdr:pic macro="[0]!HelpModelEvaluation">
      <xdr:nvPicPr>
        <xdr:cNvPr id="40" name="Picture 39">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6247364" y="1640416"/>
          <a:ext cx="182214" cy="168350"/>
        </a:xfrm>
        <a:prstGeom prst="rect">
          <a:avLst/>
        </a:prstGeom>
        <a:effectLst>
          <a:outerShdw blurRad="50800" dist="25400" dir="2700000" algn="tl" rotWithShape="0">
            <a:schemeClr val="bg1">
              <a:lumMod val="50000"/>
              <a:alpha val="40000"/>
            </a:schemeClr>
          </a:outerShdw>
        </a:effectLst>
      </xdr:spPr>
    </xdr:pic>
    <xdr:clientData/>
  </xdr:twoCellAnchor>
  <xdr:twoCellAnchor editAs="oneCell">
    <xdr:from>
      <xdr:col>0</xdr:col>
      <xdr:colOff>0</xdr:colOff>
      <xdr:row>5</xdr:row>
      <xdr:rowOff>304800</xdr:rowOff>
    </xdr:from>
    <xdr:to>
      <xdr:col>0</xdr:col>
      <xdr:colOff>0</xdr:colOff>
      <xdr:row>6</xdr:row>
      <xdr:rowOff>44525</xdr:rowOff>
    </xdr:to>
    <xdr:pic>
      <xdr:nvPicPr>
        <xdr:cNvPr id="44" name="Picture 43">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0" y="1381125"/>
          <a:ext cx="0" cy="168350"/>
        </a:xfrm>
        <a:prstGeom prst="rect">
          <a:avLst/>
        </a:prstGeom>
      </xdr:spPr>
    </xdr:pic>
    <xdr:clientData/>
  </xdr:twoCellAnchor>
  <xdr:twoCellAnchor editAs="oneCell">
    <xdr:from>
      <xdr:col>1</xdr:col>
      <xdr:colOff>741919</xdr:colOff>
      <xdr:row>5</xdr:row>
      <xdr:rowOff>221191</xdr:rowOff>
    </xdr:from>
    <xdr:to>
      <xdr:col>1</xdr:col>
      <xdr:colOff>924133</xdr:colOff>
      <xdr:row>5</xdr:row>
      <xdr:rowOff>389541</xdr:rowOff>
    </xdr:to>
    <xdr:pic macro="[0]!HelpCurrentModel">
      <xdr:nvPicPr>
        <xdr:cNvPr id="46" name="Picture 45">
          <a:extLst>
            <a:ext uri="{FF2B5EF4-FFF2-40B4-BE49-F238E27FC236}">
              <a16:creationId xmlns:a16="http://schemas.microsoft.com/office/drawing/2014/main" id="{00000000-0008-0000-0500-00002E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2018269" y="1640416"/>
          <a:ext cx="182214" cy="168350"/>
        </a:xfrm>
        <a:prstGeom prst="rect">
          <a:avLst/>
        </a:prstGeom>
        <a:effectLst>
          <a:outerShdw blurRad="50800" dist="25400" dir="2700000" algn="tl" rotWithShape="0">
            <a:schemeClr val="bg1">
              <a:lumMod val="65000"/>
              <a:alpha val="40000"/>
            </a:schemeClr>
          </a:outerShdw>
        </a:effectLst>
      </xdr:spPr>
    </xdr:pic>
    <xdr:clientData/>
  </xdr:twoCellAnchor>
  <xdr:twoCellAnchor>
    <xdr:from>
      <xdr:col>4</xdr:col>
      <xdr:colOff>0</xdr:colOff>
      <xdr:row>4</xdr:row>
      <xdr:rowOff>66678</xdr:rowOff>
    </xdr:from>
    <xdr:to>
      <xdr:col>4</xdr:col>
      <xdr:colOff>352425</xdr:colOff>
      <xdr:row>18</xdr:row>
      <xdr:rowOff>85728</xdr:rowOff>
    </xdr:to>
    <xdr:sp macro="" textlink="">
      <xdr:nvSpPr>
        <xdr:cNvPr id="3" name="Isosceles Triangle 2">
          <a:extLst>
            <a:ext uri="{FF2B5EF4-FFF2-40B4-BE49-F238E27FC236}">
              <a16:creationId xmlns:a16="http://schemas.microsoft.com/office/drawing/2014/main" id="{00000000-0008-0000-0500-000003000000}"/>
            </a:ext>
          </a:extLst>
        </xdr:cNvPr>
        <xdr:cNvSpPr/>
      </xdr:nvSpPr>
      <xdr:spPr>
        <a:xfrm rot="5400000">
          <a:off x="3509963" y="2471740"/>
          <a:ext cx="2476500" cy="352425"/>
        </a:xfrm>
        <a:prstGeom prst="triangle">
          <a:avLst>
            <a:gd name="adj" fmla="val 49853"/>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887968</xdr:colOff>
      <xdr:row>5</xdr:row>
      <xdr:rowOff>230716</xdr:rowOff>
    </xdr:from>
    <xdr:to>
      <xdr:col>11</xdr:col>
      <xdr:colOff>1070182</xdr:colOff>
      <xdr:row>5</xdr:row>
      <xdr:rowOff>399066</xdr:rowOff>
    </xdr:to>
    <xdr:pic macro="[0]!HelpModelRefine">
      <xdr:nvPicPr>
        <xdr:cNvPr id="50" name="Picture 49">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11546443" y="1649941"/>
          <a:ext cx="182214" cy="168350"/>
        </a:xfrm>
        <a:prstGeom prst="rect">
          <a:avLst/>
        </a:prstGeom>
        <a:effectLst>
          <a:outerShdw blurRad="50800" dist="25400" dir="2700000" algn="tl" rotWithShape="0">
            <a:schemeClr val="bg1">
              <a:lumMod val="65000"/>
              <a:alpha val="40000"/>
            </a:schemeClr>
          </a:outerShdw>
        </a:effectLst>
      </xdr:spPr>
    </xdr:pic>
    <xdr:clientData/>
  </xdr:twoCellAnchor>
  <xdr:twoCellAnchor>
    <xdr:from>
      <xdr:col>0</xdr:col>
      <xdr:colOff>97694</xdr:colOff>
      <xdr:row>2</xdr:row>
      <xdr:rowOff>57148</xdr:rowOff>
    </xdr:from>
    <xdr:to>
      <xdr:col>0</xdr:col>
      <xdr:colOff>1000125</xdr:colOff>
      <xdr:row>4</xdr:row>
      <xdr:rowOff>19049</xdr:rowOff>
    </xdr:to>
    <xdr:sp macro="[0]!SaveCurrentModel" textlink="">
      <xdr:nvSpPr>
        <xdr:cNvPr id="36" name="Pentagon 29">
          <a:extLst>
            <a:ext uri="{FF2B5EF4-FFF2-40B4-BE49-F238E27FC236}">
              <a16:creationId xmlns:a16="http://schemas.microsoft.com/office/drawing/2014/main" id="{00000000-0008-0000-0500-000024000000}"/>
            </a:ext>
          </a:extLst>
        </xdr:cNvPr>
        <xdr:cNvSpPr/>
      </xdr:nvSpPr>
      <xdr:spPr>
        <a:xfrm>
          <a:off x="97694" y="1133473"/>
          <a:ext cx="902431" cy="228601"/>
        </a:xfrm>
        <a:prstGeom prst="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solidFill>
            </a:rPr>
            <a:t>Save  model</a:t>
          </a:r>
          <a:r>
            <a:rPr lang="en-GB" sz="1100" b="1" baseline="0">
              <a:solidFill>
                <a:schemeClr val="bg1"/>
              </a:solidFill>
            </a:rPr>
            <a:t> </a:t>
          </a:r>
          <a:endParaRPr lang="en-GB" sz="1100" b="1">
            <a:solidFill>
              <a:schemeClr val="bg1"/>
            </a:solidFill>
          </a:endParaRPr>
        </a:p>
      </xdr:txBody>
    </xdr:sp>
    <xdr:clientData/>
  </xdr:twoCellAnchor>
  <xdr:twoCellAnchor editAs="oneCell">
    <xdr:from>
      <xdr:col>0</xdr:col>
      <xdr:colOff>1047750</xdr:colOff>
      <xdr:row>3</xdr:row>
      <xdr:rowOff>42562</xdr:rowOff>
    </xdr:from>
    <xdr:to>
      <xdr:col>0</xdr:col>
      <xdr:colOff>1208612</xdr:colOff>
      <xdr:row>3</xdr:row>
      <xdr:rowOff>187399</xdr:rowOff>
    </xdr:to>
    <xdr:pic macro="[0]!helpModelSave">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1047750" y="1176037"/>
          <a:ext cx="160862" cy="144837"/>
        </a:xfrm>
        <a:prstGeom prst="rect">
          <a:avLst/>
        </a:prstGeom>
        <a:effectLst>
          <a:outerShdw blurRad="50800" dist="25400" dir="2700000" algn="tl" rotWithShape="0">
            <a:schemeClr val="accent1">
              <a:lumMod val="50000"/>
              <a:alpha val="40000"/>
            </a:schemeClr>
          </a:outerShdw>
        </a:effectLst>
      </xdr:spPr>
    </xdr:pic>
    <xdr:clientData/>
  </xdr:twoCellAnchor>
  <xdr:twoCellAnchor editAs="oneCell">
    <xdr:from>
      <xdr:col>6</xdr:col>
      <xdr:colOff>213472</xdr:colOff>
      <xdr:row>17</xdr:row>
      <xdr:rowOff>3362</xdr:rowOff>
    </xdr:from>
    <xdr:to>
      <xdr:col>6</xdr:col>
      <xdr:colOff>395686</xdr:colOff>
      <xdr:row>17</xdr:row>
      <xdr:rowOff>171712</xdr:rowOff>
    </xdr:to>
    <xdr:pic macro="[0]!HelpPerformanceMeasures">
      <xdr:nvPicPr>
        <xdr:cNvPr id="42" name="Picture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3" cstate="print">
          <a:lum bright="22000" contrast="-100000"/>
          <a:extLst>
            <a:ext uri="{28A0092B-C50C-407E-A947-70E740481C1C}">
              <a14:useLocalDpi xmlns:a14="http://schemas.microsoft.com/office/drawing/2010/main" val="0"/>
            </a:ext>
          </a:extLst>
        </a:blip>
        <a:stretch>
          <a:fillRect/>
        </a:stretch>
      </xdr:blipFill>
      <xdr:spPr>
        <a:xfrm>
          <a:off x="6947647" y="4870637"/>
          <a:ext cx="182214" cy="168350"/>
        </a:xfrm>
        <a:prstGeom prst="rect">
          <a:avLst/>
        </a:prstGeom>
        <a:effectLst>
          <a:outerShdw blurRad="50800" dist="25400" dir="2700000" algn="tl" rotWithShape="0">
            <a:schemeClr val="bg1">
              <a:lumMod val="50000"/>
              <a:alpha val="40000"/>
            </a:schemeClr>
          </a:outerShdw>
        </a:effectLst>
      </xdr:spPr>
    </xdr:pic>
    <xdr:clientData/>
  </xdr:twoCellAnchor>
  <xdr:twoCellAnchor editAs="absolute">
    <xdr:from>
      <xdr:col>1</xdr:col>
      <xdr:colOff>2439478</xdr:colOff>
      <xdr:row>0</xdr:row>
      <xdr:rowOff>313459</xdr:rowOff>
    </xdr:from>
    <xdr:to>
      <xdr:col>1</xdr:col>
      <xdr:colOff>2621692</xdr:colOff>
      <xdr:row>0</xdr:row>
      <xdr:rowOff>481809</xdr:rowOff>
    </xdr:to>
    <xdr:pic macro="[0]!HelpDesignEvaluate">
      <xdr:nvPicPr>
        <xdr:cNvPr id="45" name="Picture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3712364" y="313459"/>
          <a:ext cx="182214" cy="168350"/>
        </a:xfrm>
        <a:prstGeom prst="rect">
          <a:avLst/>
        </a:prstGeom>
        <a:effectLst>
          <a:outerShdw blurRad="50800" dist="38100" dir="2700000" algn="tl" rotWithShape="0">
            <a:schemeClr val="tx2">
              <a:lumMod val="50000"/>
              <a:alpha val="40000"/>
            </a:schemeClr>
          </a:outerShdw>
        </a:effectLst>
      </xdr:spPr>
    </xdr:pic>
    <xdr:clientData/>
  </xdr:twoCellAnchor>
  <xdr:twoCellAnchor>
    <xdr:from>
      <xdr:col>10</xdr:col>
      <xdr:colOff>0</xdr:colOff>
      <xdr:row>5</xdr:row>
      <xdr:rowOff>9526</xdr:rowOff>
    </xdr:from>
    <xdr:to>
      <xdr:col>10</xdr:col>
      <xdr:colOff>352425</xdr:colOff>
      <xdr:row>18</xdr:row>
      <xdr:rowOff>104776</xdr:rowOff>
    </xdr:to>
    <xdr:sp macro="" textlink="">
      <xdr:nvSpPr>
        <xdr:cNvPr id="23" name="Isosceles Triangle 22">
          <a:extLst>
            <a:ext uri="{FF2B5EF4-FFF2-40B4-BE49-F238E27FC236}">
              <a16:creationId xmlns:a16="http://schemas.microsoft.com/office/drawing/2014/main" id="{00000000-0008-0000-0500-000017000000}"/>
            </a:ext>
          </a:extLst>
        </xdr:cNvPr>
        <xdr:cNvSpPr/>
      </xdr:nvSpPr>
      <xdr:spPr>
        <a:xfrm rot="5400000">
          <a:off x="7986713" y="2490788"/>
          <a:ext cx="2476500" cy="352425"/>
        </a:xfrm>
        <a:prstGeom prst="triangle">
          <a:avLst>
            <a:gd name="adj" fmla="val 4985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7</xdr:col>
      <xdr:colOff>582161</xdr:colOff>
      <xdr:row>18</xdr:row>
      <xdr:rowOff>33674</xdr:rowOff>
    </xdr:from>
    <xdr:to>
      <xdr:col>7</xdr:col>
      <xdr:colOff>743023</xdr:colOff>
      <xdr:row>18</xdr:row>
      <xdr:rowOff>178511</xdr:rowOff>
    </xdr:to>
    <xdr:pic macro="[0]!HelpAccuracy">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8487911" y="5375001"/>
          <a:ext cx="160862" cy="144837"/>
        </a:xfrm>
        <a:prstGeom prst="rect">
          <a:avLst/>
        </a:prstGeom>
        <a:effectLst>
          <a:outerShdw blurRad="50800" dist="38100" dir="2700000" sx="80000" sy="80000" algn="tl" rotWithShape="0">
            <a:schemeClr val="tx2">
              <a:lumMod val="50000"/>
              <a:alpha val="40000"/>
            </a:schemeClr>
          </a:outerShdw>
        </a:effectLst>
      </xdr:spPr>
    </xdr:pic>
    <xdr:clientData/>
  </xdr:twoCellAnchor>
  <xdr:twoCellAnchor editAs="oneCell">
    <xdr:from>
      <xdr:col>8</xdr:col>
      <xdr:colOff>543791</xdr:colOff>
      <xdr:row>14</xdr:row>
      <xdr:rowOff>49164</xdr:rowOff>
    </xdr:from>
    <xdr:to>
      <xdr:col>8</xdr:col>
      <xdr:colOff>704653</xdr:colOff>
      <xdr:row>14</xdr:row>
      <xdr:rowOff>190153</xdr:rowOff>
    </xdr:to>
    <xdr:pic macro="[0]!HelpSufficiency">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9497291" y="4699096"/>
          <a:ext cx="160862" cy="140989"/>
        </a:xfrm>
        <a:prstGeom prst="rect">
          <a:avLst/>
        </a:prstGeom>
        <a:effectLst>
          <a:outerShdw blurRad="50800" dist="38100" dir="2700000" sx="80000" sy="80000" algn="tl" rotWithShape="0">
            <a:prstClr val="black">
              <a:alpha val="25000"/>
            </a:prstClr>
          </a:outerShdw>
        </a:effectLst>
      </xdr:spPr>
    </xdr:pic>
    <xdr:clientData/>
  </xdr:twoCellAnchor>
  <xdr:twoCellAnchor editAs="oneCell">
    <xdr:from>
      <xdr:col>6</xdr:col>
      <xdr:colOff>1142999</xdr:colOff>
      <xdr:row>14</xdr:row>
      <xdr:rowOff>47240</xdr:rowOff>
    </xdr:from>
    <xdr:to>
      <xdr:col>6</xdr:col>
      <xdr:colOff>1303861</xdr:colOff>
      <xdr:row>14</xdr:row>
      <xdr:rowOff>192077</xdr:rowOff>
    </xdr:to>
    <xdr:pic macro="[0]!HelpNecessity">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7975022" y="4697172"/>
          <a:ext cx="160862" cy="144837"/>
        </a:xfrm>
        <a:prstGeom prst="rect">
          <a:avLst/>
        </a:prstGeom>
        <a:effectLst>
          <a:outerShdw blurRad="50800" dist="38100" dir="2700000" sx="82000" sy="82000" algn="tl" rotWithShape="0">
            <a:prstClr val="black">
              <a:alpha val="28000"/>
            </a:prstClr>
          </a:outerShdw>
        </a:effectLst>
      </xdr:spPr>
    </xdr:pic>
    <xdr:clientData/>
  </xdr:twoCellAnchor>
  <xdr:twoCellAnchor editAs="oneCell">
    <xdr:from>
      <xdr:col>7</xdr:col>
      <xdr:colOff>582161</xdr:colOff>
      <xdr:row>29</xdr:row>
      <xdr:rowOff>41370</xdr:rowOff>
    </xdr:from>
    <xdr:to>
      <xdr:col>7</xdr:col>
      <xdr:colOff>743023</xdr:colOff>
      <xdr:row>29</xdr:row>
      <xdr:rowOff>186207</xdr:rowOff>
    </xdr:to>
    <xdr:pic macro="[0]!HelpLikelihoodRatioPositive">
      <xdr:nvPicPr>
        <xdr:cNvPr id="52" name="Picture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8487911" y="7426908"/>
          <a:ext cx="160862" cy="144837"/>
        </a:xfrm>
        <a:prstGeom prst="rect">
          <a:avLst/>
        </a:prstGeom>
        <a:effectLst>
          <a:outerShdw blurRad="50800" dist="38100" dir="2700000" sx="80000" sy="80000" algn="tl" rotWithShape="0">
            <a:schemeClr val="tx2">
              <a:lumMod val="50000"/>
              <a:alpha val="40000"/>
            </a:schemeClr>
          </a:outerShdw>
        </a:effectLst>
      </xdr:spPr>
    </xdr:pic>
    <xdr:clientData/>
  </xdr:twoCellAnchor>
  <xdr:twoCellAnchor editAs="oneCell">
    <xdr:from>
      <xdr:col>7</xdr:col>
      <xdr:colOff>582161</xdr:colOff>
      <xdr:row>24</xdr:row>
      <xdr:rowOff>30801</xdr:rowOff>
    </xdr:from>
    <xdr:to>
      <xdr:col>7</xdr:col>
      <xdr:colOff>743023</xdr:colOff>
      <xdr:row>24</xdr:row>
      <xdr:rowOff>175638</xdr:rowOff>
    </xdr:to>
    <xdr:pic macro="[0]!HelpTruePositiveRate">
      <xdr:nvPicPr>
        <xdr:cNvPr id="54" name="Picture 53">
          <a:extLst>
            <a:ext uri="{FF2B5EF4-FFF2-40B4-BE49-F238E27FC236}">
              <a16:creationId xmlns:a16="http://schemas.microsoft.com/office/drawing/2014/main" id="{00000000-0008-0000-0500-000036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8487911" y="6280666"/>
          <a:ext cx="160862" cy="144837"/>
        </a:xfrm>
        <a:prstGeom prst="rect">
          <a:avLst/>
        </a:prstGeom>
        <a:effectLst>
          <a:outerShdw blurRad="50800" dist="38100" dir="2700000" sx="80000" sy="80000" algn="tl" rotWithShape="0">
            <a:schemeClr val="tx2">
              <a:lumMod val="50000"/>
              <a:alpha val="40000"/>
            </a:schemeClr>
          </a:outerShdw>
        </a:effectLst>
      </xdr:spPr>
    </xdr:pic>
    <xdr:clientData/>
  </xdr:twoCellAnchor>
  <xdr:twoCellAnchor editAs="oneCell">
    <xdr:from>
      <xdr:col>7</xdr:col>
      <xdr:colOff>582161</xdr:colOff>
      <xdr:row>28</xdr:row>
      <xdr:rowOff>41929</xdr:rowOff>
    </xdr:from>
    <xdr:to>
      <xdr:col>7</xdr:col>
      <xdr:colOff>743023</xdr:colOff>
      <xdr:row>28</xdr:row>
      <xdr:rowOff>190614</xdr:rowOff>
    </xdr:to>
    <xdr:pic macro="[0]!HelpNullErrorRate">
      <xdr:nvPicPr>
        <xdr:cNvPr id="56" name="Picture 55">
          <a:extLst>
            <a:ext uri="{FF2B5EF4-FFF2-40B4-BE49-F238E27FC236}">
              <a16:creationId xmlns:a16="http://schemas.microsoft.com/office/drawing/2014/main" id="{00000000-0008-0000-0500-000038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8487911" y="7200333"/>
          <a:ext cx="160862" cy="148685"/>
        </a:xfrm>
        <a:prstGeom prst="rect">
          <a:avLst/>
        </a:prstGeom>
        <a:effectLst>
          <a:outerShdw blurRad="50800" dist="38100" dir="2700000" sx="80000" sy="80000" algn="tl" rotWithShape="0">
            <a:schemeClr val="tx2">
              <a:lumMod val="50000"/>
              <a:alpha val="40000"/>
            </a:schemeClr>
          </a:outerShdw>
        </a:effectLst>
      </xdr:spPr>
    </xdr:pic>
    <xdr:clientData/>
  </xdr:twoCellAnchor>
  <xdr:twoCellAnchor editAs="oneCell">
    <xdr:from>
      <xdr:col>7</xdr:col>
      <xdr:colOff>582161</xdr:colOff>
      <xdr:row>25</xdr:row>
      <xdr:rowOff>55403</xdr:rowOff>
    </xdr:from>
    <xdr:to>
      <xdr:col>7</xdr:col>
      <xdr:colOff>743023</xdr:colOff>
      <xdr:row>25</xdr:row>
      <xdr:rowOff>200240</xdr:rowOff>
    </xdr:to>
    <xdr:pic macro="[0]!HelpPositivePredictiveValue">
      <xdr:nvPicPr>
        <xdr:cNvPr id="59" name="Picture 58">
          <a:extLst>
            <a:ext uri="{FF2B5EF4-FFF2-40B4-BE49-F238E27FC236}">
              <a16:creationId xmlns:a16="http://schemas.microsoft.com/office/drawing/2014/main" id="{00000000-0008-0000-0500-00003B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8487911" y="6532403"/>
          <a:ext cx="160862" cy="144837"/>
        </a:xfrm>
        <a:prstGeom prst="rect">
          <a:avLst/>
        </a:prstGeom>
        <a:effectLst>
          <a:outerShdw blurRad="50800" dist="38100" dir="2700000" sx="80000" sy="80000" algn="tl" rotWithShape="0">
            <a:schemeClr val="tx2">
              <a:lumMod val="50000"/>
              <a:alpha val="40000"/>
            </a:schemeClr>
          </a:outerShdw>
        </a:effectLst>
      </xdr:spPr>
    </xdr:pic>
    <xdr:clientData/>
  </xdr:twoCellAnchor>
  <xdr:twoCellAnchor editAs="oneCell">
    <xdr:from>
      <xdr:col>7</xdr:col>
      <xdr:colOff>582161</xdr:colOff>
      <xdr:row>27</xdr:row>
      <xdr:rowOff>36929</xdr:rowOff>
    </xdr:from>
    <xdr:to>
      <xdr:col>7</xdr:col>
      <xdr:colOff>743023</xdr:colOff>
      <xdr:row>27</xdr:row>
      <xdr:rowOff>181766</xdr:rowOff>
    </xdr:to>
    <xdr:pic macro="[0]!HelpLift">
      <xdr:nvPicPr>
        <xdr:cNvPr id="61" name="Picture 60">
          <a:extLst>
            <a:ext uri="{FF2B5EF4-FFF2-40B4-BE49-F238E27FC236}">
              <a16:creationId xmlns:a16="http://schemas.microsoft.com/office/drawing/2014/main" id="{00000000-0008-0000-0500-00003D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8487911" y="6968198"/>
          <a:ext cx="160862" cy="144837"/>
        </a:xfrm>
        <a:prstGeom prst="rect">
          <a:avLst/>
        </a:prstGeom>
        <a:effectLst>
          <a:outerShdw blurRad="50800" dist="38100" dir="2700000" sx="80000" sy="80000" algn="tl" rotWithShape="0">
            <a:schemeClr val="tx2">
              <a:lumMod val="50000"/>
              <a:alpha val="40000"/>
            </a:schemeClr>
          </a:outerShdw>
        </a:effectLst>
      </xdr:spPr>
    </xdr:pic>
    <xdr:clientData/>
  </xdr:twoCellAnchor>
  <xdr:oneCellAnchor>
    <xdr:from>
      <xdr:col>7</xdr:col>
      <xdr:colOff>582161</xdr:colOff>
      <xdr:row>20</xdr:row>
      <xdr:rowOff>39254</xdr:rowOff>
    </xdr:from>
    <xdr:ext cx="160862" cy="144837"/>
    <xdr:pic macro="[0]!HelpFScore">
      <xdr:nvPicPr>
        <xdr:cNvPr id="62" name="Picture 61">
          <a:extLst>
            <a:ext uri="{FF2B5EF4-FFF2-40B4-BE49-F238E27FC236}">
              <a16:creationId xmlns:a16="http://schemas.microsoft.com/office/drawing/2014/main" id="{00000000-0008-0000-0500-00003E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8487911" y="5834850"/>
          <a:ext cx="160862" cy="144837"/>
        </a:xfrm>
        <a:prstGeom prst="rect">
          <a:avLst/>
        </a:prstGeom>
        <a:effectLst>
          <a:outerShdw blurRad="50800" dist="38100" dir="2700000" sx="80000" sy="80000" algn="tl" rotWithShape="0">
            <a:schemeClr val="tx2">
              <a:lumMod val="50000"/>
              <a:alpha val="40000"/>
            </a:schemeClr>
          </a:outerShdw>
        </a:effectLst>
      </xdr:spPr>
    </xdr:pic>
    <xdr:clientData/>
  </xdr:oneCellAnchor>
  <xdr:twoCellAnchor editAs="oneCell">
    <xdr:from>
      <xdr:col>7</xdr:col>
      <xdr:colOff>582161</xdr:colOff>
      <xdr:row>31</xdr:row>
      <xdr:rowOff>36634</xdr:rowOff>
    </xdr:from>
    <xdr:to>
      <xdr:col>7</xdr:col>
      <xdr:colOff>743023</xdr:colOff>
      <xdr:row>31</xdr:row>
      <xdr:rowOff>181471</xdr:rowOff>
    </xdr:to>
    <xdr:pic macro="[0]!HelpUserDefined">
      <xdr:nvPicPr>
        <xdr:cNvPr id="63" name="Picture 62">
          <a:extLst>
            <a:ext uri="{FF2B5EF4-FFF2-40B4-BE49-F238E27FC236}">
              <a16:creationId xmlns:a16="http://schemas.microsoft.com/office/drawing/2014/main" id="{00000000-0008-0000-0500-00003F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8487911" y="7876442"/>
          <a:ext cx="160862" cy="144837"/>
        </a:xfrm>
        <a:prstGeom prst="rect">
          <a:avLst/>
        </a:prstGeom>
        <a:effectLst>
          <a:outerShdw blurRad="50800" dist="38100" dir="2700000" sx="80000" sy="80000" algn="tl" rotWithShape="0">
            <a:schemeClr val="tx2">
              <a:lumMod val="50000"/>
              <a:alpha val="40000"/>
            </a:schemeClr>
          </a:outerShdw>
        </a:effectLst>
      </xdr:spPr>
    </xdr:pic>
    <xdr:clientData/>
  </xdr:twoCellAnchor>
  <xdr:twoCellAnchor editAs="oneCell">
    <xdr:from>
      <xdr:col>7</xdr:col>
      <xdr:colOff>582161</xdr:colOff>
      <xdr:row>22</xdr:row>
      <xdr:rowOff>36635</xdr:rowOff>
    </xdr:from>
    <xdr:to>
      <xdr:col>7</xdr:col>
      <xdr:colOff>743023</xdr:colOff>
      <xdr:row>22</xdr:row>
      <xdr:rowOff>181472</xdr:rowOff>
    </xdr:to>
    <xdr:pic macro="[0]!HelpGiniIndex">
      <xdr:nvPicPr>
        <xdr:cNvPr id="64" name="Picture 63">
          <a:extLst>
            <a:ext uri="{FF2B5EF4-FFF2-40B4-BE49-F238E27FC236}">
              <a16:creationId xmlns:a16="http://schemas.microsoft.com/office/drawing/2014/main" id="{00000000-0008-0000-0500-000040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8487911" y="8103577"/>
          <a:ext cx="160862" cy="144837"/>
        </a:xfrm>
        <a:prstGeom prst="rect">
          <a:avLst/>
        </a:prstGeom>
        <a:effectLst>
          <a:outerShdw blurRad="50800" dist="38100" dir="2700000" sx="80000" sy="80000" algn="tl" rotWithShape="0">
            <a:schemeClr val="tx2">
              <a:lumMod val="50000"/>
              <a:alpha val="40000"/>
            </a:schemeClr>
          </a:outerShdw>
        </a:effectLst>
      </xdr:spPr>
    </xdr:pic>
    <xdr:clientData/>
  </xdr:twoCellAnchor>
  <xdr:twoCellAnchor editAs="oneCell">
    <xdr:from>
      <xdr:col>7</xdr:col>
      <xdr:colOff>582161</xdr:colOff>
      <xdr:row>21</xdr:row>
      <xdr:rowOff>36635</xdr:rowOff>
    </xdr:from>
    <xdr:to>
      <xdr:col>7</xdr:col>
      <xdr:colOff>743023</xdr:colOff>
      <xdr:row>21</xdr:row>
      <xdr:rowOff>181472</xdr:rowOff>
    </xdr:to>
    <xdr:pic macro="[0]!HelpMCC">
      <xdr:nvPicPr>
        <xdr:cNvPr id="48" name="Picture 47">
          <a:extLst>
            <a:ext uri="{FF2B5EF4-FFF2-40B4-BE49-F238E27FC236}">
              <a16:creationId xmlns:a16="http://schemas.microsoft.com/office/drawing/2014/main" id="{00000000-0008-0000-0500-000030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8678411" y="5618285"/>
          <a:ext cx="160862" cy="144837"/>
        </a:xfrm>
        <a:prstGeom prst="rect">
          <a:avLst/>
        </a:prstGeom>
        <a:effectLst>
          <a:outerShdw blurRad="50800" dist="38100" dir="2700000" sx="80000" sy="80000" algn="tl" rotWithShape="0">
            <a:schemeClr val="tx2">
              <a:lumMod val="50000"/>
              <a:alpha val="40000"/>
            </a:schemeClr>
          </a:outerShdw>
        </a:effectLst>
      </xdr:spPr>
    </xdr:pic>
    <xdr:clientData/>
  </xdr:twoCellAnchor>
  <xdr:twoCellAnchor editAs="oneCell">
    <xdr:from>
      <xdr:col>7</xdr:col>
      <xdr:colOff>572636</xdr:colOff>
      <xdr:row>19</xdr:row>
      <xdr:rowOff>46160</xdr:rowOff>
    </xdr:from>
    <xdr:to>
      <xdr:col>7</xdr:col>
      <xdr:colOff>733498</xdr:colOff>
      <xdr:row>19</xdr:row>
      <xdr:rowOff>190997</xdr:rowOff>
    </xdr:to>
    <xdr:pic macro="[0]!HelpAveragedAccuracy">
      <xdr:nvPicPr>
        <xdr:cNvPr id="58" name="Picture 57">
          <a:extLst>
            <a:ext uri="{FF2B5EF4-FFF2-40B4-BE49-F238E27FC236}">
              <a16:creationId xmlns:a16="http://schemas.microsoft.com/office/drawing/2014/main" id="{00000000-0008-0000-0500-00003A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8668886" y="5399210"/>
          <a:ext cx="160862" cy="144837"/>
        </a:xfrm>
        <a:prstGeom prst="rect">
          <a:avLst/>
        </a:prstGeom>
        <a:effectLst>
          <a:outerShdw blurRad="50800" dist="38100" dir="2700000" sx="80000" sy="80000" algn="tl" rotWithShape="0">
            <a:schemeClr val="tx2">
              <a:lumMod val="50000"/>
              <a:alpha val="40000"/>
            </a:schemeClr>
          </a:outerShdw>
        </a:effectLst>
      </xdr:spPr>
    </xdr:pic>
    <xdr:clientData/>
  </xdr:twoCellAnchor>
  <xdr:twoCellAnchor editAs="absolute">
    <xdr:from>
      <xdr:col>9</xdr:col>
      <xdr:colOff>13988</xdr:colOff>
      <xdr:row>18</xdr:row>
      <xdr:rowOff>48971</xdr:rowOff>
    </xdr:from>
    <xdr:to>
      <xdr:col>9</xdr:col>
      <xdr:colOff>194963</xdr:colOff>
      <xdr:row>18</xdr:row>
      <xdr:rowOff>212980</xdr:rowOff>
    </xdr:to>
    <xdr:pic macro="[0]!HelpDTIcon">
      <xdr:nvPicPr>
        <xdr:cNvPr id="5" name="Picture 4" descr="Suitable for use when building a decision tree" title="Decision tree measure">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duotone>
            <a:schemeClr val="accent1">
              <a:shade val="45000"/>
              <a:satMod val="135000"/>
            </a:schemeClr>
            <a:prstClr val="white"/>
          </a:duotone>
          <a:extLst>
            <a:ext uri="{BEBA8EAE-BF5A-486C-A8C5-ECC9F3942E4B}">
              <a14:imgProps xmlns:a14="http://schemas.microsoft.com/office/drawing/2010/main">
                <a14:imgLayer r:embed="rId5">
                  <a14:imgEffect>
                    <a14:saturation sat="75000"/>
                  </a14:imgEffect>
                </a14:imgLayer>
              </a14:imgProps>
            </a:ext>
            <a:ext uri="{28A0092B-C50C-407E-A947-70E740481C1C}">
              <a14:useLocalDpi xmlns:a14="http://schemas.microsoft.com/office/drawing/2010/main" val="0"/>
            </a:ext>
          </a:extLst>
        </a:blip>
        <a:stretch>
          <a:fillRect/>
        </a:stretch>
      </xdr:blipFill>
      <xdr:spPr>
        <a:xfrm>
          <a:off x="9681863" y="4687646"/>
          <a:ext cx="180975" cy="164009"/>
        </a:xfrm>
        <a:prstGeom prst="rect">
          <a:avLst/>
        </a:prstGeom>
        <a:noFill/>
        <a:effectLst>
          <a:outerShdw blurRad="25400" dist="12700" dir="2700000" algn="tl" rotWithShape="0">
            <a:schemeClr val="tx2">
              <a:lumMod val="50000"/>
              <a:alpha val="19000"/>
            </a:schemeClr>
          </a:outerShdw>
        </a:effectLst>
      </xdr:spPr>
    </xdr:pic>
    <xdr:clientData/>
  </xdr:twoCellAnchor>
  <xdr:twoCellAnchor editAs="absolute">
    <xdr:from>
      <xdr:col>9</xdr:col>
      <xdr:colOff>13988</xdr:colOff>
      <xdr:row>19</xdr:row>
      <xdr:rowOff>55861</xdr:rowOff>
    </xdr:from>
    <xdr:to>
      <xdr:col>9</xdr:col>
      <xdr:colOff>194963</xdr:colOff>
      <xdr:row>19</xdr:row>
      <xdr:rowOff>219870</xdr:rowOff>
    </xdr:to>
    <xdr:pic macro="[0]!HelpDTIcon">
      <xdr:nvPicPr>
        <xdr:cNvPr id="67" name="Picture 66" descr="Suitable for use when building a decision tree" title="Decision tree measure">
          <a:extLst>
            <a:ext uri="{FF2B5EF4-FFF2-40B4-BE49-F238E27FC236}">
              <a16:creationId xmlns:a16="http://schemas.microsoft.com/office/drawing/2014/main" id="{00000000-0008-0000-0500-000043000000}"/>
            </a:ext>
          </a:extLst>
        </xdr:cNvPr>
        <xdr:cNvPicPr>
          <a:picLocks noChangeAspect="1"/>
        </xdr:cNvPicPr>
      </xdr:nvPicPr>
      <xdr:blipFill>
        <a:blip xmlns:r="http://schemas.openxmlformats.org/officeDocument/2006/relationships" r:embed="rId4" cstate="print">
          <a:duotone>
            <a:schemeClr val="accent1">
              <a:shade val="45000"/>
              <a:satMod val="135000"/>
            </a:schemeClr>
            <a:prstClr val="white"/>
          </a:duotone>
          <a:extLst>
            <a:ext uri="{BEBA8EAE-BF5A-486C-A8C5-ECC9F3942E4B}">
              <a14:imgProps xmlns:a14="http://schemas.microsoft.com/office/drawing/2010/main">
                <a14:imgLayer r:embed="rId5">
                  <a14:imgEffect>
                    <a14:saturation sat="75000"/>
                  </a14:imgEffect>
                </a14:imgLayer>
              </a14:imgProps>
            </a:ext>
            <a:ext uri="{28A0092B-C50C-407E-A947-70E740481C1C}">
              <a14:useLocalDpi xmlns:a14="http://schemas.microsoft.com/office/drawing/2010/main" val="0"/>
            </a:ext>
          </a:extLst>
        </a:blip>
        <a:stretch>
          <a:fillRect/>
        </a:stretch>
      </xdr:blipFill>
      <xdr:spPr>
        <a:xfrm>
          <a:off x="9681863" y="4923136"/>
          <a:ext cx="180975" cy="164009"/>
        </a:xfrm>
        <a:prstGeom prst="rect">
          <a:avLst/>
        </a:prstGeom>
        <a:noFill/>
        <a:effectLst>
          <a:outerShdw blurRad="25400" dist="12700" dir="2700000" algn="tl" rotWithShape="0">
            <a:schemeClr val="tx2">
              <a:lumMod val="50000"/>
              <a:alpha val="19000"/>
            </a:schemeClr>
          </a:outerShdw>
        </a:effectLst>
      </xdr:spPr>
    </xdr:pic>
    <xdr:clientData/>
  </xdr:twoCellAnchor>
  <xdr:twoCellAnchor editAs="absolute">
    <xdr:from>
      <xdr:col>9</xdr:col>
      <xdr:colOff>13988</xdr:colOff>
      <xdr:row>21</xdr:row>
      <xdr:rowOff>40026</xdr:rowOff>
    </xdr:from>
    <xdr:to>
      <xdr:col>9</xdr:col>
      <xdr:colOff>194963</xdr:colOff>
      <xdr:row>21</xdr:row>
      <xdr:rowOff>204035</xdr:rowOff>
    </xdr:to>
    <xdr:pic macro="[0]!HelpDTIcon">
      <xdr:nvPicPr>
        <xdr:cNvPr id="68" name="Picture 67" descr="Suitable for use when building a decision tree" title="Decision tree measure">
          <a:extLst>
            <a:ext uri="{FF2B5EF4-FFF2-40B4-BE49-F238E27FC236}">
              <a16:creationId xmlns:a16="http://schemas.microsoft.com/office/drawing/2014/main" id="{00000000-0008-0000-0500-000044000000}"/>
            </a:ext>
          </a:extLst>
        </xdr:cNvPr>
        <xdr:cNvPicPr>
          <a:picLocks noChangeAspect="1"/>
        </xdr:cNvPicPr>
      </xdr:nvPicPr>
      <xdr:blipFill>
        <a:blip xmlns:r="http://schemas.openxmlformats.org/officeDocument/2006/relationships" r:embed="rId4" cstate="print">
          <a:duotone>
            <a:schemeClr val="accent1">
              <a:shade val="45000"/>
              <a:satMod val="135000"/>
            </a:schemeClr>
            <a:prstClr val="white"/>
          </a:duotone>
          <a:extLst>
            <a:ext uri="{BEBA8EAE-BF5A-486C-A8C5-ECC9F3942E4B}">
              <a14:imgProps xmlns:a14="http://schemas.microsoft.com/office/drawing/2010/main">
                <a14:imgLayer r:embed="rId5">
                  <a14:imgEffect>
                    <a14:saturation sat="75000"/>
                  </a14:imgEffect>
                </a14:imgLayer>
              </a14:imgProps>
            </a:ext>
            <a:ext uri="{28A0092B-C50C-407E-A947-70E740481C1C}">
              <a14:useLocalDpi xmlns:a14="http://schemas.microsoft.com/office/drawing/2010/main" val="0"/>
            </a:ext>
          </a:extLst>
        </a:blip>
        <a:stretch>
          <a:fillRect/>
        </a:stretch>
      </xdr:blipFill>
      <xdr:spPr>
        <a:xfrm>
          <a:off x="9681863" y="5364501"/>
          <a:ext cx="180975" cy="164009"/>
        </a:xfrm>
        <a:prstGeom prst="rect">
          <a:avLst/>
        </a:prstGeom>
        <a:noFill/>
        <a:effectLst>
          <a:outerShdw blurRad="25400" dist="12700" dir="2700000" algn="tl" rotWithShape="0">
            <a:schemeClr val="tx2">
              <a:lumMod val="50000"/>
              <a:alpha val="19000"/>
            </a:schemeClr>
          </a:outerShdw>
        </a:effectLst>
      </xdr:spPr>
    </xdr:pic>
    <xdr:clientData/>
  </xdr:twoCellAnchor>
  <xdr:twoCellAnchor editAs="absolute">
    <xdr:from>
      <xdr:col>9</xdr:col>
      <xdr:colOff>13988</xdr:colOff>
      <xdr:row>22</xdr:row>
      <xdr:rowOff>37063</xdr:rowOff>
    </xdr:from>
    <xdr:to>
      <xdr:col>9</xdr:col>
      <xdr:colOff>194963</xdr:colOff>
      <xdr:row>22</xdr:row>
      <xdr:rowOff>201072</xdr:rowOff>
    </xdr:to>
    <xdr:pic macro="[0]!HelpDTIcon">
      <xdr:nvPicPr>
        <xdr:cNvPr id="69" name="Picture 68" descr="Suitable for use when building a decision tree" title="Decision tree measure">
          <a:extLst>
            <a:ext uri="{FF2B5EF4-FFF2-40B4-BE49-F238E27FC236}">
              <a16:creationId xmlns:a16="http://schemas.microsoft.com/office/drawing/2014/main" id="{00000000-0008-0000-0500-000045000000}"/>
            </a:ext>
          </a:extLst>
        </xdr:cNvPr>
        <xdr:cNvPicPr>
          <a:picLocks noChangeAspect="1"/>
        </xdr:cNvPicPr>
      </xdr:nvPicPr>
      <xdr:blipFill>
        <a:blip xmlns:r="http://schemas.openxmlformats.org/officeDocument/2006/relationships" r:embed="rId4" cstate="print">
          <a:duotone>
            <a:schemeClr val="accent1">
              <a:shade val="45000"/>
              <a:satMod val="135000"/>
            </a:schemeClr>
            <a:prstClr val="white"/>
          </a:duotone>
          <a:extLst>
            <a:ext uri="{BEBA8EAE-BF5A-486C-A8C5-ECC9F3942E4B}">
              <a14:imgProps xmlns:a14="http://schemas.microsoft.com/office/drawing/2010/main">
                <a14:imgLayer r:embed="rId5">
                  <a14:imgEffect>
                    <a14:saturation sat="75000"/>
                  </a14:imgEffect>
                </a14:imgLayer>
              </a14:imgProps>
            </a:ext>
            <a:ext uri="{28A0092B-C50C-407E-A947-70E740481C1C}">
              <a14:useLocalDpi xmlns:a14="http://schemas.microsoft.com/office/drawing/2010/main" val="0"/>
            </a:ext>
          </a:extLst>
        </a:blip>
        <a:stretch>
          <a:fillRect/>
        </a:stretch>
      </xdr:blipFill>
      <xdr:spPr>
        <a:xfrm>
          <a:off x="9681863" y="5590138"/>
          <a:ext cx="180975" cy="164009"/>
        </a:xfrm>
        <a:prstGeom prst="rect">
          <a:avLst/>
        </a:prstGeom>
        <a:noFill/>
        <a:effectLst>
          <a:outerShdw blurRad="25400" dist="12700" dir="2700000" algn="tl" rotWithShape="0">
            <a:schemeClr val="tx2">
              <a:lumMod val="50000"/>
              <a:alpha val="19000"/>
            </a:schemeClr>
          </a:outerShdw>
        </a:effectLst>
      </xdr:spPr>
    </xdr:pic>
    <xdr:clientData/>
  </xdr:twoCellAnchor>
  <xdr:twoCellAnchor editAs="absolute">
    <xdr:from>
      <xdr:col>9</xdr:col>
      <xdr:colOff>13988</xdr:colOff>
      <xdr:row>27</xdr:row>
      <xdr:rowOff>43850</xdr:rowOff>
    </xdr:from>
    <xdr:to>
      <xdr:col>9</xdr:col>
      <xdr:colOff>194963</xdr:colOff>
      <xdr:row>27</xdr:row>
      <xdr:rowOff>207859</xdr:rowOff>
    </xdr:to>
    <xdr:pic macro="[0]!HelpDTIcon">
      <xdr:nvPicPr>
        <xdr:cNvPr id="70" name="Picture 69" descr="Suitable for use when building a decision tree" title="Decision tree measure">
          <a:extLst>
            <a:ext uri="{FF2B5EF4-FFF2-40B4-BE49-F238E27FC236}">
              <a16:creationId xmlns:a16="http://schemas.microsoft.com/office/drawing/2014/main" id="{00000000-0008-0000-0500-000046000000}"/>
            </a:ext>
          </a:extLst>
        </xdr:cNvPr>
        <xdr:cNvPicPr>
          <a:picLocks noChangeAspect="1"/>
        </xdr:cNvPicPr>
      </xdr:nvPicPr>
      <xdr:blipFill>
        <a:blip xmlns:r="http://schemas.openxmlformats.org/officeDocument/2006/relationships" r:embed="rId4" cstate="print">
          <a:duotone>
            <a:schemeClr val="accent1">
              <a:shade val="45000"/>
              <a:satMod val="135000"/>
            </a:schemeClr>
            <a:prstClr val="white"/>
          </a:duotone>
          <a:extLst>
            <a:ext uri="{BEBA8EAE-BF5A-486C-A8C5-ECC9F3942E4B}">
              <a14:imgProps xmlns:a14="http://schemas.microsoft.com/office/drawing/2010/main">
                <a14:imgLayer r:embed="rId5">
                  <a14:imgEffect>
                    <a14:saturation sat="75000"/>
                  </a14:imgEffect>
                </a14:imgLayer>
              </a14:imgProps>
            </a:ext>
            <a:ext uri="{28A0092B-C50C-407E-A947-70E740481C1C}">
              <a14:useLocalDpi xmlns:a14="http://schemas.microsoft.com/office/drawing/2010/main" val="0"/>
            </a:ext>
          </a:extLst>
        </a:blip>
        <a:stretch>
          <a:fillRect/>
        </a:stretch>
      </xdr:blipFill>
      <xdr:spPr>
        <a:xfrm>
          <a:off x="9681863" y="6739925"/>
          <a:ext cx="180975" cy="164009"/>
        </a:xfrm>
        <a:prstGeom prst="rect">
          <a:avLst/>
        </a:prstGeom>
        <a:noFill/>
        <a:effectLst>
          <a:outerShdw blurRad="25400" dist="12700" dir="2700000" algn="tl" rotWithShape="0">
            <a:schemeClr val="tx2">
              <a:lumMod val="50000"/>
              <a:alpha val="19000"/>
            </a:schemeClr>
          </a:outerShdw>
        </a:effectLst>
      </xdr:spPr>
    </xdr:pic>
    <xdr:clientData/>
  </xdr:twoCellAnchor>
  <xdr:twoCellAnchor editAs="absolute">
    <xdr:from>
      <xdr:col>1</xdr:col>
      <xdr:colOff>2721</xdr:colOff>
      <xdr:row>1</xdr:row>
      <xdr:rowOff>38100</xdr:rowOff>
    </xdr:from>
    <xdr:to>
      <xdr:col>11</xdr:col>
      <xdr:colOff>754116</xdr:colOff>
      <xdr:row>1</xdr:row>
      <xdr:rowOff>267081</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279071" y="800100"/>
          <a:ext cx="10114470" cy="228981"/>
          <a:chOff x="1276350" y="800100"/>
          <a:chExt cx="10136241" cy="228981"/>
        </a:xfrm>
      </xdr:grpSpPr>
      <xdr:sp macro="" textlink="">
        <xdr:nvSpPr>
          <xdr:cNvPr id="24" name="TextBox 23">
            <a:hlinkClick xmlns:r="http://schemas.openxmlformats.org/officeDocument/2006/relationships" r:id="rId6"/>
            <a:extLst>
              <a:ext uri="{FF2B5EF4-FFF2-40B4-BE49-F238E27FC236}">
                <a16:creationId xmlns:a16="http://schemas.microsoft.com/office/drawing/2014/main" id="{00000000-0008-0000-0500-000018000000}"/>
              </a:ext>
            </a:extLst>
          </xdr:cNvPr>
          <xdr:cNvSpPr txBox="1"/>
        </xdr:nvSpPr>
        <xdr:spPr>
          <a:xfrm>
            <a:off x="2685980" y="809625"/>
            <a:ext cx="1271890"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Input</a:t>
            </a:r>
            <a:r>
              <a:rPr lang="en-GB" sz="1100" b="0" baseline="0">
                <a:solidFill>
                  <a:schemeClr val="accent1">
                    <a:lumMod val="40000"/>
                    <a:lumOff val="60000"/>
                  </a:schemeClr>
                </a:solidFill>
              </a:rPr>
              <a:t> Data</a:t>
            </a:r>
            <a:endParaRPr lang="en-GB" sz="1100" b="0">
              <a:solidFill>
                <a:schemeClr val="accent1">
                  <a:lumMod val="40000"/>
                  <a:lumOff val="60000"/>
                </a:schemeClr>
              </a:solidFill>
            </a:endParaRPr>
          </a:p>
        </xdr:txBody>
      </xdr:sp>
      <xdr:sp macro="" textlink="">
        <xdr:nvSpPr>
          <xdr:cNvPr id="27" name="TextBox 26">
            <a:hlinkClick xmlns:r="http://schemas.openxmlformats.org/officeDocument/2006/relationships" r:id="rId7"/>
            <a:extLst>
              <a:ext uri="{FF2B5EF4-FFF2-40B4-BE49-F238E27FC236}">
                <a16:creationId xmlns:a16="http://schemas.microsoft.com/office/drawing/2014/main" id="{00000000-0008-0000-0500-00001B000000}"/>
              </a:ext>
            </a:extLst>
          </xdr:cNvPr>
          <xdr:cNvSpPr txBox="1"/>
        </xdr:nvSpPr>
        <xdr:spPr>
          <a:xfrm>
            <a:off x="3876257" y="809625"/>
            <a:ext cx="1314318"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bg1"/>
                </a:solidFill>
              </a:rPr>
              <a:t>Select Data</a:t>
            </a:r>
          </a:p>
        </xdr:txBody>
      </xdr:sp>
      <xdr:sp macro="" textlink="">
        <xdr:nvSpPr>
          <xdr:cNvPr id="31" name="TextBox 30">
            <a:hlinkClick xmlns:r="http://schemas.openxmlformats.org/officeDocument/2006/relationships" r:id="rId8"/>
            <a:extLst>
              <a:ext uri="{FF2B5EF4-FFF2-40B4-BE49-F238E27FC236}">
                <a16:creationId xmlns:a16="http://schemas.microsoft.com/office/drawing/2014/main" id="{00000000-0008-0000-0500-00001F000000}"/>
              </a:ext>
            </a:extLst>
          </xdr:cNvPr>
          <xdr:cNvSpPr txBox="1"/>
        </xdr:nvSpPr>
        <xdr:spPr>
          <a:xfrm>
            <a:off x="1276350" y="809625"/>
            <a:ext cx="1485954"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Get Started</a:t>
            </a:r>
          </a:p>
        </xdr:txBody>
      </xdr:sp>
      <xdr:sp macro="" textlink="">
        <xdr:nvSpPr>
          <xdr:cNvPr id="32" name="TextBox 31">
            <a:hlinkClick xmlns:r="http://schemas.openxmlformats.org/officeDocument/2006/relationships" r:id="rId9"/>
            <a:extLst>
              <a:ext uri="{FF2B5EF4-FFF2-40B4-BE49-F238E27FC236}">
                <a16:creationId xmlns:a16="http://schemas.microsoft.com/office/drawing/2014/main" id="{00000000-0008-0000-0500-000020000000}"/>
              </a:ext>
            </a:extLst>
          </xdr:cNvPr>
          <xdr:cNvSpPr txBox="1"/>
        </xdr:nvSpPr>
        <xdr:spPr>
          <a:xfrm>
            <a:off x="5113754" y="800100"/>
            <a:ext cx="2171368" cy="219076"/>
          </a:xfrm>
          <a:prstGeom prst="chevron">
            <a:avLst/>
          </a:prstGeom>
          <a:solidFill>
            <a:schemeClr val="tx2">
              <a:lumMod val="50000"/>
            </a:schemeClr>
          </a:solidFill>
          <a:ln w="9525" cmpd="sng">
            <a:noFill/>
          </a:ln>
          <a:effectLst>
            <a:outerShdw blurRad="127000" dist="63500" dir="2700000" algn="tl" rotWithShape="0">
              <a:schemeClr val="tx2">
                <a:lumMod val="50000"/>
                <a:alpha val="63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Design &amp; Evaluate</a:t>
            </a:r>
          </a:p>
        </xdr:txBody>
      </xdr:sp>
      <xdr:sp macro="" textlink="">
        <xdr:nvSpPr>
          <xdr:cNvPr id="33" name="TextBox 32">
            <a:hlinkClick xmlns:r="http://schemas.openxmlformats.org/officeDocument/2006/relationships" r:id="rId10"/>
            <a:extLst>
              <a:ext uri="{FF2B5EF4-FFF2-40B4-BE49-F238E27FC236}">
                <a16:creationId xmlns:a16="http://schemas.microsoft.com/office/drawing/2014/main" id="{00000000-0008-0000-0500-000021000000}"/>
              </a:ext>
            </a:extLst>
          </xdr:cNvPr>
          <xdr:cNvSpPr txBox="1"/>
        </xdr:nvSpPr>
        <xdr:spPr>
          <a:xfrm>
            <a:off x="8661874" y="809650"/>
            <a:ext cx="1383028"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Cases</a:t>
            </a:r>
          </a:p>
        </xdr:txBody>
      </xdr:sp>
      <xdr:sp macro="" textlink="">
        <xdr:nvSpPr>
          <xdr:cNvPr id="34" name="TextBox 33">
            <a:hlinkClick xmlns:r="http://schemas.openxmlformats.org/officeDocument/2006/relationships" r:id="rId11"/>
            <a:extLst>
              <a:ext uri="{FF2B5EF4-FFF2-40B4-BE49-F238E27FC236}">
                <a16:creationId xmlns:a16="http://schemas.microsoft.com/office/drawing/2014/main" id="{00000000-0008-0000-0500-000022000000}"/>
              </a:ext>
            </a:extLst>
          </xdr:cNvPr>
          <xdr:cNvSpPr txBox="1"/>
        </xdr:nvSpPr>
        <xdr:spPr>
          <a:xfrm>
            <a:off x="7215167" y="809625"/>
            <a:ext cx="1521792"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Models</a:t>
            </a:r>
          </a:p>
        </xdr:txBody>
      </xdr:sp>
      <xdr:sp macro="" textlink="">
        <xdr:nvSpPr>
          <xdr:cNvPr id="57" name="TextBox 56">
            <a:hlinkClick xmlns:r="http://schemas.openxmlformats.org/officeDocument/2006/relationships" r:id="rId12"/>
            <a:extLst>
              <a:ext uri="{FF2B5EF4-FFF2-40B4-BE49-F238E27FC236}">
                <a16:creationId xmlns:a16="http://schemas.microsoft.com/office/drawing/2014/main" id="{00000000-0008-0000-0500-000039000000}"/>
              </a:ext>
            </a:extLst>
          </xdr:cNvPr>
          <xdr:cNvSpPr txBox="1"/>
        </xdr:nvSpPr>
        <xdr:spPr>
          <a:xfrm>
            <a:off x="9972591" y="809625"/>
            <a:ext cx="1440000"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tx2">
                    <a:lumMod val="20000"/>
                    <a:lumOff val="80000"/>
                  </a:schemeClr>
                </a:solidFill>
              </a:rPr>
              <a:t>Compare Models</a:t>
            </a:r>
          </a:p>
        </xdr:txBody>
      </xdr:sp>
    </xdr:grpSp>
    <xdr:clientData/>
  </xdr:twoCellAnchor>
  <xdr:twoCellAnchor editAs="absolute">
    <xdr:from>
      <xdr:col>11</xdr:col>
      <xdr:colOff>1190</xdr:colOff>
      <xdr:row>12</xdr:row>
      <xdr:rowOff>12941</xdr:rowOff>
    </xdr:from>
    <xdr:to>
      <xdr:col>11</xdr:col>
      <xdr:colOff>2013515</xdr:colOff>
      <xdr:row>13</xdr:row>
      <xdr:rowOff>66711</xdr:rowOff>
    </xdr:to>
    <xdr:sp macro="[0]!ShowSearchDialogN" textlink="">
      <xdr:nvSpPr>
        <xdr:cNvPr id="96" name="Rectangle 95">
          <a:extLst>
            <a:ext uri="{FF2B5EF4-FFF2-40B4-BE49-F238E27FC236}">
              <a16:creationId xmlns:a16="http://schemas.microsoft.com/office/drawing/2014/main" id="{00000000-0008-0000-0500-000060000000}"/>
            </a:ext>
          </a:extLst>
        </xdr:cNvPr>
        <xdr:cNvSpPr/>
      </xdr:nvSpPr>
      <xdr:spPr>
        <a:xfrm>
          <a:off x="10659665" y="3280016"/>
          <a:ext cx="2012325" cy="282370"/>
        </a:xfrm>
        <a:prstGeom prst="rect">
          <a:avLst/>
        </a:prstGeom>
        <a:solidFill>
          <a:schemeClr val="accent6">
            <a:lumMod val="75000"/>
          </a:schemeClr>
        </a:solidFill>
        <a:ln>
          <a:noFill/>
        </a:ln>
        <a:effectLst>
          <a:outerShdw blurRad="50800" dist="38100" dir="2700000" algn="tl" rotWithShape="0">
            <a:schemeClr val="accent6">
              <a:lumMod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0"/>
            <a:t>Necessary &amp; Insufficient</a:t>
          </a:r>
        </a:p>
      </xdr:txBody>
    </xdr:sp>
    <xdr:clientData/>
  </xdr:twoCellAnchor>
  <xdr:twoCellAnchor editAs="absolute">
    <xdr:from>
      <xdr:col>11</xdr:col>
      <xdr:colOff>1744902</xdr:colOff>
      <xdr:row>10</xdr:row>
      <xdr:rowOff>100552</xdr:rowOff>
    </xdr:from>
    <xdr:to>
      <xdr:col>11</xdr:col>
      <xdr:colOff>1905043</xdr:colOff>
      <xdr:row>11</xdr:row>
      <xdr:rowOff>21311</xdr:rowOff>
    </xdr:to>
    <xdr:pic macro="[0]!HelpNecessary">
      <xdr:nvPicPr>
        <xdr:cNvPr id="97" name="Picture 96">
          <a:extLst>
            <a:ext uri="{FF2B5EF4-FFF2-40B4-BE49-F238E27FC236}">
              <a16:creationId xmlns:a16="http://schemas.microsoft.com/office/drawing/2014/main" id="{00000000-0008-0000-0500-000061000000}"/>
            </a:ext>
          </a:extLst>
        </xdr:cNvPr>
        <xdr:cNvPicPr>
          <a:picLocks noChangeAspect="1"/>
        </xdr:cNvPicPr>
      </xdr:nvPicPr>
      <xdr:blipFill>
        <a:blip xmlns:r="http://schemas.openxmlformats.org/officeDocument/2006/relationships" r:embed="rId13" cstate="print">
          <a:biLevel thresh="25000"/>
          <a:extLst>
            <a:ext uri="{28A0092B-C50C-407E-A947-70E740481C1C}">
              <a14:useLocalDpi xmlns:a14="http://schemas.microsoft.com/office/drawing/2010/main" val="0"/>
            </a:ext>
          </a:extLst>
        </a:blip>
        <a:stretch>
          <a:fillRect/>
        </a:stretch>
      </xdr:blipFill>
      <xdr:spPr>
        <a:xfrm>
          <a:off x="12403377" y="2910427"/>
          <a:ext cx="160141" cy="149359"/>
        </a:xfrm>
        <a:prstGeom prst="rect">
          <a:avLst/>
        </a:prstGeom>
        <a:effectLst>
          <a:outerShdw blurRad="50800" dist="25400" dir="2700000" algn="tl" rotWithShape="0">
            <a:schemeClr val="accent6">
              <a:lumMod val="50000"/>
              <a:alpha val="40000"/>
            </a:schemeClr>
          </a:outerShdw>
        </a:effectLst>
      </xdr:spPr>
    </xdr:pic>
    <xdr:clientData/>
  </xdr:twoCellAnchor>
  <xdr:twoCellAnchor>
    <xdr:from>
      <xdr:col>11</xdr:col>
      <xdr:colOff>1190</xdr:colOff>
      <xdr:row>10</xdr:row>
      <xdr:rowOff>45244</xdr:rowOff>
    </xdr:from>
    <xdr:to>
      <xdr:col>11</xdr:col>
      <xdr:colOff>2012324</xdr:colOff>
      <xdr:row>11</xdr:row>
      <xdr:rowOff>99014</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10640615" y="2855119"/>
          <a:ext cx="2011134" cy="282370"/>
          <a:chOff x="10659665" y="2416969"/>
          <a:chExt cx="2011134" cy="282370"/>
        </a:xfrm>
      </xdr:grpSpPr>
      <xdr:sp macro="[0]!ShowSearchDialogNS" textlink="">
        <xdr:nvSpPr>
          <xdr:cNvPr id="102" name="Rectangle 101">
            <a:extLst>
              <a:ext uri="{FF2B5EF4-FFF2-40B4-BE49-F238E27FC236}">
                <a16:creationId xmlns:a16="http://schemas.microsoft.com/office/drawing/2014/main" id="{00000000-0008-0000-0500-000066000000}"/>
              </a:ext>
            </a:extLst>
          </xdr:cNvPr>
          <xdr:cNvSpPr/>
        </xdr:nvSpPr>
        <xdr:spPr>
          <a:xfrm>
            <a:off x="10659665" y="2416969"/>
            <a:ext cx="2011134" cy="282370"/>
          </a:xfrm>
          <a:prstGeom prst="rect">
            <a:avLst/>
          </a:prstGeom>
          <a:solidFill>
            <a:schemeClr val="accent6">
              <a:lumMod val="75000"/>
            </a:schemeClr>
          </a:solidFill>
          <a:ln>
            <a:noFill/>
          </a:ln>
          <a:effectLst>
            <a:outerShdw blurRad="50800" dist="38100" dir="2700000" algn="tl" rotWithShape="0">
              <a:schemeClr val="accent6">
                <a:lumMod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0"/>
              <a:t>Necessary &amp; Sufficient</a:t>
            </a:r>
          </a:p>
        </xdr:txBody>
      </xdr:sp>
      <xdr:pic macro="[0]!HelpNecessaryAndSufficient">
        <xdr:nvPicPr>
          <xdr:cNvPr id="103" name="Picture 102">
            <a:extLst>
              <a:ext uri="{FF2B5EF4-FFF2-40B4-BE49-F238E27FC236}">
                <a16:creationId xmlns:a16="http://schemas.microsoft.com/office/drawing/2014/main" id="{00000000-0008-0000-0500-000067000000}"/>
              </a:ext>
            </a:extLst>
          </xdr:cNvPr>
          <xdr:cNvPicPr>
            <a:picLocks noChangeAspect="1"/>
          </xdr:cNvPicPr>
        </xdr:nvPicPr>
        <xdr:blipFill>
          <a:blip xmlns:r="http://schemas.openxmlformats.org/officeDocument/2006/relationships" r:embed="rId13" cstate="print">
            <a:biLevel thresh="25000"/>
            <a:extLst>
              <a:ext uri="{28A0092B-C50C-407E-A947-70E740481C1C}">
                <a14:useLocalDpi xmlns:a14="http://schemas.microsoft.com/office/drawing/2010/main" val="0"/>
              </a:ext>
            </a:extLst>
          </a:blip>
          <a:stretch>
            <a:fillRect/>
          </a:stretch>
        </xdr:blipFill>
        <xdr:spPr>
          <a:xfrm>
            <a:off x="12402345" y="2485530"/>
            <a:ext cx="160046" cy="149359"/>
          </a:xfrm>
          <a:prstGeom prst="rect">
            <a:avLst/>
          </a:prstGeom>
          <a:effectLst>
            <a:outerShdw blurRad="50800" dist="25400" dir="2700000" algn="tl" rotWithShape="0">
              <a:schemeClr val="accent6">
                <a:lumMod val="50000"/>
                <a:alpha val="40000"/>
              </a:schemeClr>
            </a:outerShdw>
          </a:effectLst>
        </xdr:spPr>
      </xdr:pic>
    </xdr:grpSp>
    <xdr:clientData/>
  </xdr:twoCellAnchor>
  <xdr:twoCellAnchor editAs="absolute">
    <xdr:from>
      <xdr:col>11</xdr:col>
      <xdr:colOff>1190</xdr:colOff>
      <xdr:row>13</xdr:row>
      <xdr:rowOff>210428</xdr:rowOff>
    </xdr:from>
    <xdr:to>
      <xdr:col>11</xdr:col>
      <xdr:colOff>2013515</xdr:colOff>
      <xdr:row>15</xdr:row>
      <xdr:rowOff>35598</xdr:rowOff>
    </xdr:to>
    <xdr:grpSp>
      <xdr:nvGrpSpPr>
        <xdr:cNvPr id="107" name="Group 106">
          <a:extLst>
            <a:ext uri="{FF2B5EF4-FFF2-40B4-BE49-F238E27FC236}">
              <a16:creationId xmlns:a16="http://schemas.microsoft.com/office/drawing/2014/main" id="{00000000-0008-0000-0500-00006B000000}"/>
            </a:ext>
          </a:extLst>
        </xdr:cNvPr>
        <xdr:cNvGrpSpPr/>
      </xdr:nvGrpSpPr>
      <xdr:grpSpPr>
        <a:xfrm>
          <a:off x="10640615" y="3706103"/>
          <a:ext cx="2012325" cy="282370"/>
          <a:chOff x="10715624" y="2467205"/>
          <a:chExt cx="2021385" cy="282370"/>
        </a:xfrm>
      </xdr:grpSpPr>
      <xdr:sp macro="[0]!ShowSearchDialogS" textlink="">
        <xdr:nvSpPr>
          <xdr:cNvPr id="108" name="Rectangle 107">
            <a:extLst>
              <a:ext uri="{FF2B5EF4-FFF2-40B4-BE49-F238E27FC236}">
                <a16:creationId xmlns:a16="http://schemas.microsoft.com/office/drawing/2014/main" id="{00000000-0008-0000-0500-00006C000000}"/>
              </a:ext>
            </a:extLst>
          </xdr:cNvPr>
          <xdr:cNvSpPr/>
        </xdr:nvSpPr>
        <xdr:spPr>
          <a:xfrm>
            <a:off x="10715624" y="2467205"/>
            <a:ext cx="2021385" cy="282370"/>
          </a:xfrm>
          <a:prstGeom prst="rect">
            <a:avLst/>
          </a:prstGeom>
          <a:solidFill>
            <a:schemeClr val="accent6">
              <a:lumMod val="75000"/>
            </a:schemeClr>
          </a:solidFill>
          <a:ln>
            <a:noFill/>
          </a:ln>
          <a:effectLst>
            <a:outerShdw blurRad="50800" dist="38100" dir="2700000" algn="tl" rotWithShape="0">
              <a:schemeClr val="accent6">
                <a:lumMod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0"/>
              <a:t>Sufficient &amp; Unnecessary</a:t>
            </a:r>
          </a:p>
        </xdr:txBody>
      </xdr:sp>
      <xdr:pic macro="[0]!helpsufficient">
        <xdr:nvPicPr>
          <xdr:cNvPr id="109" name="Picture 108">
            <a:extLst>
              <a:ext uri="{FF2B5EF4-FFF2-40B4-BE49-F238E27FC236}">
                <a16:creationId xmlns:a16="http://schemas.microsoft.com/office/drawing/2014/main" id="{00000000-0008-0000-0500-00006D000000}"/>
              </a:ext>
            </a:extLst>
          </xdr:cNvPr>
          <xdr:cNvPicPr>
            <a:picLocks noChangeAspect="1"/>
          </xdr:cNvPicPr>
        </xdr:nvPicPr>
        <xdr:blipFill>
          <a:blip xmlns:r="http://schemas.openxmlformats.org/officeDocument/2006/relationships" r:embed="rId13" cstate="print">
            <a:biLevel thresh="25000"/>
            <a:extLst>
              <a:ext uri="{28A0092B-C50C-407E-A947-70E740481C1C}">
                <a14:useLocalDpi xmlns:a14="http://schemas.microsoft.com/office/drawing/2010/main" val="0"/>
              </a:ext>
            </a:extLst>
          </a:blip>
          <a:stretch>
            <a:fillRect/>
          </a:stretch>
        </xdr:blipFill>
        <xdr:spPr>
          <a:xfrm>
            <a:off x="12467187" y="2535766"/>
            <a:ext cx="160862" cy="149359"/>
          </a:xfrm>
          <a:prstGeom prst="rect">
            <a:avLst/>
          </a:prstGeom>
          <a:effectLst>
            <a:outerShdw blurRad="50800" dist="25400" dir="2700000" algn="tl" rotWithShape="0">
              <a:schemeClr val="accent6">
                <a:lumMod val="50000"/>
                <a:alpha val="40000"/>
              </a:schemeClr>
            </a:outerShdw>
          </a:effectLst>
        </xdr:spPr>
      </xdr:pic>
    </xdr:grpSp>
    <xdr:clientData/>
  </xdr:twoCellAnchor>
  <xdr:twoCellAnchor editAs="absolute">
    <xdr:from>
      <xdr:col>11</xdr:col>
      <xdr:colOff>3739</xdr:colOff>
      <xdr:row>8</xdr:row>
      <xdr:rowOff>122638</xdr:rowOff>
    </xdr:from>
    <xdr:to>
      <xdr:col>11</xdr:col>
      <xdr:colOff>2008920</xdr:colOff>
      <xdr:row>9</xdr:row>
      <xdr:rowOff>176408</xdr:rowOff>
    </xdr:to>
    <xdr:grpSp>
      <xdr:nvGrpSpPr>
        <xdr:cNvPr id="113" name="Group 112">
          <a:extLst>
            <a:ext uri="{FF2B5EF4-FFF2-40B4-BE49-F238E27FC236}">
              <a16:creationId xmlns:a16="http://schemas.microsoft.com/office/drawing/2014/main" id="{00000000-0008-0000-0500-000071000000}"/>
            </a:ext>
          </a:extLst>
        </xdr:cNvPr>
        <xdr:cNvGrpSpPr/>
      </xdr:nvGrpSpPr>
      <xdr:grpSpPr>
        <a:xfrm>
          <a:off x="10643164" y="2446738"/>
          <a:ext cx="2005181" cy="282370"/>
          <a:chOff x="10715624" y="2467205"/>
          <a:chExt cx="2021385" cy="282370"/>
        </a:xfrm>
      </xdr:grpSpPr>
      <xdr:sp macro="[0]!ShowSearchDialog" textlink="">
        <xdr:nvSpPr>
          <xdr:cNvPr id="114" name="Rectangle 113">
            <a:extLst>
              <a:ext uri="{FF2B5EF4-FFF2-40B4-BE49-F238E27FC236}">
                <a16:creationId xmlns:a16="http://schemas.microsoft.com/office/drawing/2014/main" id="{00000000-0008-0000-0500-000072000000}"/>
              </a:ext>
            </a:extLst>
          </xdr:cNvPr>
          <xdr:cNvSpPr/>
        </xdr:nvSpPr>
        <xdr:spPr>
          <a:xfrm>
            <a:off x="10715624" y="2467205"/>
            <a:ext cx="2021385" cy="282370"/>
          </a:xfrm>
          <a:prstGeom prst="rect">
            <a:avLst/>
          </a:prstGeom>
          <a:solidFill>
            <a:schemeClr val="accent6">
              <a:lumMod val="75000"/>
            </a:schemeClr>
          </a:solidFill>
          <a:ln>
            <a:noFill/>
          </a:ln>
          <a:effectLst>
            <a:outerShdw blurRad="50800" dist="38100" dir="2700000" algn="tl" rotWithShape="0">
              <a:schemeClr val="accent6">
                <a:lumMod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0"/>
              <a:t>Most predictive-of</a:t>
            </a:r>
            <a:r>
              <a:rPr lang="en-GB" sz="1100" b="0" baseline="0"/>
              <a:t> any kind</a:t>
            </a:r>
            <a:endParaRPr lang="en-GB" sz="1100" b="0"/>
          </a:p>
        </xdr:txBody>
      </xdr:sp>
      <xdr:pic macro="[0]!HelpFindModels">
        <xdr:nvPicPr>
          <xdr:cNvPr id="115" name="Picture 114">
            <a:extLst>
              <a:ext uri="{FF2B5EF4-FFF2-40B4-BE49-F238E27FC236}">
                <a16:creationId xmlns:a16="http://schemas.microsoft.com/office/drawing/2014/main" id="{00000000-0008-0000-0500-000073000000}"/>
              </a:ext>
            </a:extLst>
          </xdr:cNvPr>
          <xdr:cNvPicPr>
            <a:picLocks noChangeAspect="1"/>
          </xdr:cNvPicPr>
        </xdr:nvPicPr>
        <xdr:blipFill>
          <a:blip xmlns:r="http://schemas.openxmlformats.org/officeDocument/2006/relationships" r:embed="rId13" cstate="print">
            <a:biLevel thresh="25000"/>
            <a:extLst>
              <a:ext uri="{28A0092B-C50C-407E-A947-70E740481C1C}">
                <a14:useLocalDpi xmlns:a14="http://schemas.microsoft.com/office/drawing/2010/main" val="0"/>
              </a:ext>
            </a:extLst>
          </a:blip>
          <a:stretch>
            <a:fillRect/>
          </a:stretch>
        </xdr:blipFill>
        <xdr:spPr>
          <a:xfrm>
            <a:off x="12467187" y="2535766"/>
            <a:ext cx="160862" cy="149359"/>
          </a:xfrm>
          <a:prstGeom prst="rect">
            <a:avLst/>
          </a:prstGeom>
          <a:effectLst>
            <a:outerShdw blurRad="50800" dist="25400" dir="2700000" algn="tl" rotWithShape="0">
              <a:schemeClr val="accent6">
                <a:lumMod val="50000"/>
                <a:alpha val="40000"/>
              </a:schemeClr>
            </a:outerShdw>
          </a:effectLst>
        </xdr:spPr>
      </xdr:pic>
    </xdr:grpSp>
    <xdr:clientData/>
  </xdr:twoCellAnchor>
  <xdr:twoCellAnchor editAs="oneCell">
    <xdr:from>
      <xdr:col>2</xdr:col>
      <xdr:colOff>474240</xdr:colOff>
      <xdr:row>10</xdr:row>
      <xdr:rowOff>25514</xdr:rowOff>
    </xdr:from>
    <xdr:to>
      <xdr:col>2</xdr:col>
      <xdr:colOff>654240</xdr:colOff>
      <xdr:row>10</xdr:row>
      <xdr:rowOff>205514</xdr:rowOff>
    </xdr:to>
    <xdr:sp macro="[0]!ResetModel" textlink="">
      <xdr:nvSpPr>
        <xdr:cNvPr id="9" name="Multiply 8">
          <a:extLst>
            <a:ext uri="{FF2B5EF4-FFF2-40B4-BE49-F238E27FC236}">
              <a16:creationId xmlns:a16="http://schemas.microsoft.com/office/drawing/2014/main" id="{00000000-0008-0000-0500-000009000000}"/>
            </a:ext>
          </a:extLst>
        </xdr:cNvPr>
        <xdr:cNvSpPr/>
      </xdr:nvSpPr>
      <xdr:spPr>
        <a:xfrm>
          <a:off x="4385443" y="2835389"/>
          <a:ext cx="180000" cy="180000"/>
        </a:xfrm>
        <a:prstGeom prst="mathMultiply">
          <a:avLst/>
        </a:prstGeom>
        <a:solidFill>
          <a:schemeClr val="accent1"/>
        </a:solidFill>
        <a:ln>
          <a:noFill/>
        </a:ln>
        <a:effectLst>
          <a:outerShdw blurRad="50800" dist="38100" dir="2700000" algn="tl" rotWithShape="0">
            <a:schemeClr val="tx2">
              <a:lumMod val="5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b="1"/>
        </a:p>
      </xdr:txBody>
    </xdr:sp>
    <xdr:clientData/>
  </xdr:twoCellAnchor>
  <xdr:twoCellAnchor>
    <xdr:from>
      <xdr:col>11</xdr:col>
      <xdr:colOff>0</xdr:colOff>
      <xdr:row>17</xdr:row>
      <xdr:rowOff>104775</xdr:rowOff>
    </xdr:from>
    <xdr:to>
      <xdr:col>11</xdr:col>
      <xdr:colOff>2011134</xdr:colOff>
      <xdr:row>18</xdr:row>
      <xdr:rowOff>158545</xdr:rowOff>
    </xdr:to>
    <xdr:grpSp>
      <xdr:nvGrpSpPr>
        <xdr:cNvPr id="65" name="Group 64">
          <a:extLst>
            <a:ext uri="{FF2B5EF4-FFF2-40B4-BE49-F238E27FC236}">
              <a16:creationId xmlns:a16="http://schemas.microsoft.com/office/drawing/2014/main" id="{00000000-0008-0000-0500-000041000000}"/>
            </a:ext>
          </a:extLst>
        </xdr:cNvPr>
        <xdr:cNvGrpSpPr/>
      </xdr:nvGrpSpPr>
      <xdr:grpSpPr>
        <a:xfrm>
          <a:off x="10639425" y="4514850"/>
          <a:ext cx="2011134" cy="282370"/>
          <a:chOff x="10659665" y="2416969"/>
          <a:chExt cx="2011134" cy="282370"/>
        </a:xfrm>
      </xdr:grpSpPr>
      <xdr:sp macro="[0]!Sensitivity" textlink="">
        <xdr:nvSpPr>
          <xdr:cNvPr id="66" name="Rectangle 65">
            <a:extLst>
              <a:ext uri="{FF2B5EF4-FFF2-40B4-BE49-F238E27FC236}">
                <a16:creationId xmlns:a16="http://schemas.microsoft.com/office/drawing/2014/main" id="{00000000-0008-0000-0500-000042000000}"/>
              </a:ext>
            </a:extLst>
          </xdr:cNvPr>
          <xdr:cNvSpPr/>
        </xdr:nvSpPr>
        <xdr:spPr>
          <a:xfrm>
            <a:off x="10659665" y="2416969"/>
            <a:ext cx="2011134" cy="282370"/>
          </a:xfrm>
          <a:prstGeom prst="rect">
            <a:avLst/>
          </a:prstGeom>
          <a:solidFill>
            <a:schemeClr val="accent6">
              <a:lumMod val="75000"/>
            </a:schemeClr>
          </a:solidFill>
          <a:ln>
            <a:noFill/>
          </a:ln>
          <a:effectLst>
            <a:outerShdw blurRad="50800" dist="38100" dir="2700000" algn="tl" rotWithShape="0">
              <a:schemeClr val="accent6">
                <a:lumMod val="50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0"/>
              <a:t>Sensitivity</a:t>
            </a:r>
          </a:p>
        </xdr:txBody>
      </xdr:sp>
      <xdr:pic macro="[0]!HelpSensitivity">
        <xdr:nvPicPr>
          <xdr:cNvPr id="71" name="Picture 70">
            <a:extLst>
              <a:ext uri="{FF2B5EF4-FFF2-40B4-BE49-F238E27FC236}">
                <a16:creationId xmlns:a16="http://schemas.microsoft.com/office/drawing/2014/main" id="{00000000-0008-0000-0500-000047000000}"/>
              </a:ext>
            </a:extLst>
          </xdr:cNvPr>
          <xdr:cNvPicPr>
            <a:picLocks noChangeAspect="1"/>
          </xdr:cNvPicPr>
        </xdr:nvPicPr>
        <xdr:blipFill>
          <a:blip xmlns:r="http://schemas.openxmlformats.org/officeDocument/2006/relationships" r:embed="rId13" cstate="print">
            <a:biLevel thresh="25000"/>
            <a:extLst>
              <a:ext uri="{28A0092B-C50C-407E-A947-70E740481C1C}">
                <a14:useLocalDpi xmlns:a14="http://schemas.microsoft.com/office/drawing/2010/main" val="0"/>
              </a:ext>
            </a:extLst>
          </a:blip>
          <a:stretch>
            <a:fillRect/>
          </a:stretch>
        </xdr:blipFill>
        <xdr:spPr>
          <a:xfrm>
            <a:off x="12402345" y="2485530"/>
            <a:ext cx="160046" cy="149359"/>
          </a:xfrm>
          <a:prstGeom prst="rect">
            <a:avLst/>
          </a:prstGeom>
          <a:effectLst>
            <a:outerShdw blurRad="50800" dist="25400" dir="2700000" algn="tl" rotWithShape="0">
              <a:schemeClr val="accent6">
                <a:lumMod val="50000"/>
                <a:alpha val="40000"/>
              </a:schemeClr>
            </a:outerShdw>
          </a:effectLst>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581025</xdr:colOff>
      <xdr:row>2</xdr:row>
      <xdr:rowOff>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057275" cy="1076325"/>
        </a:xfrm>
        <a:prstGeom prst="rect">
          <a:avLst/>
        </a:prstGeom>
      </xdr:spPr>
    </xdr:pic>
    <xdr:clientData/>
  </xdr:twoCellAnchor>
  <xdr:twoCellAnchor editAs="absolute">
    <xdr:from>
      <xdr:col>1</xdr:col>
      <xdr:colOff>723900</xdr:colOff>
      <xdr:row>0</xdr:row>
      <xdr:rowOff>257175</xdr:rowOff>
    </xdr:from>
    <xdr:to>
      <xdr:col>2</xdr:col>
      <xdr:colOff>2008719</xdr:colOff>
      <xdr:row>0</xdr:row>
      <xdr:rowOff>571500</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1219200" y="257175"/>
          <a:ext cx="2028826" cy="314325"/>
        </a:xfrm>
        <a:prstGeom prst="rect">
          <a:avLst/>
        </a:prstGeom>
        <a:solidFill>
          <a:srgbClr val="4F81BD"/>
        </a:solidFill>
        <a:ln w="25400" cap="flat" cmpd="sng" algn="ctr">
          <a:no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GB" sz="2400" b="1" i="0" u="none" strike="noStrike" kern="0" cap="none" spc="0" normalizeH="0" baseline="0" noProof="0">
              <a:ln>
                <a:noFill/>
              </a:ln>
              <a:solidFill>
                <a:sysClr val="window" lastClr="FFFFFF"/>
              </a:solidFill>
              <a:effectLst/>
              <a:uLnTx/>
              <a:uFillTx/>
              <a:latin typeface="Calibri"/>
              <a:ea typeface="+mn-ea"/>
              <a:cs typeface="+mn-cs"/>
            </a:rPr>
            <a:t>View Models</a:t>
          </a:r>
        </a:p>
      </xdr:txBody>
    </xdr:sp>
    <xdr:clientData/>
  </xdr:twoCellAnchor>
  <xdr:twoCellAnchor editAs="absolute">
    <xdr:from>
      <xdr:col>2</xdr:col>
      <xdr:colOff>1863708</xdr:colOff>
      <xdr:row>0</xdr:row>
      <xdr:rowOff>342900</xdr:rowOff>
    </xdr:from>
    <xdr:to>
      <xdr:col>2</xdr:col>
      <xdr:colOff>2005705</xdr:colOff>
      <xdr:row>0</xdr:row>
      <xdr:rowOff>511250</xdr:rowOff>
    </xdr:to>
    <xdr:pic macro="[0]!HelpViewModels">
      <xdr:nvPicPr>
        <xdr:cNvPr id="14" name="Picture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3088324" y="342900"/>
          <a:ext cx="180097" cy="168350"/>
        </a:xfrm>
        <a:prstGeom prst="rect">
          <a:avLst/>
        </a:prstGeom>
        <a:effectLst>
          <a:outerShdw blurRad="50800" dist="38100" dir="2700000" algn="tl" rotWithShape="0">
            <a:schemeClr val="accent1">
              <a:lumMod val="50000"/>
              <a:alpha val="40000"/>
            </a:schemeClr>
          </a:outerShdw>
        </a:effectLst>
      </xdr:spPr>
    </xdr:pic>
    <xdr:clientData/>
  </xdr:twoCellAnchor>
  <xdr:twoCellAnchor>
    <xdr:from>
      <xdr:col>0</xdr:col>
      <xdr:colOff>20052</xdr:colOff>
      <xdr:row>2</xdr:row>
      <xdr:rowOff>24862</xdr:rowOff>
    </xdr:from>
    <xdr:to>
      <xdr:col>2</xdr:col>
      <xdr:colOff>181978</xdr:colOff>
      <xdr:row>4</xdr:row>
      <xdr:rowOff>22670</xdr:rowOff>
    </xdr:to>
    <xdr:sp macro="[0]!LoadSelectedModel" textlink="">
      <xdr:nvSpPr>
        <xdr:cNvPr id="4" name="loadButton">
          <a:extLst>
            <a:ext uri="{FF2B5EF4-FFF2-40B4-BE49-F238E27FC236}">
              <a16:creationId xmlns:a16="http://schemas.microsoft.com/office/drawing/2014/main" id="{00000000-0008-0000-0600-000004000000}"/>
            </a:ext>
          </a:extLst>
        </xdr:cNvPr>
        <xdr:cNvSpPr/>
      </xdr:nvSpPr>
      <xdr:spPr>
        <a:xfrm flipH="1">
          <a:off x="20052" y="1097678"/>
          <a:ext cx="1385137" cy="238439"/>
        </a:xfrm>
        <a:prstGeom prst="homePlate">
          <a:avLst/>
        </a:prstGeom>
        <a:solidFill>
          <a:schemeClr val="tx1">
            <a:lumMod val="50000"/>
            <a:lumOff val="50000"/>
          </a:schemeClr>
        </a:solidFill>
        <a:ln>
          <a:noFill/>
        </a:ln>
        <a:effectLst/>
        <a:extLst>
          <a:ext uri="{AF507438-7753-43E0-B8FC-AC1667EBCBE1}">
            <a14:hiddenEffects xmlns:a14="http://schemas.microsoft.com/office/drawing/2010/main">
              <a:effectLst>
                <a:outerShdw blurRad="63500" dist="37357" dir="2700000" rotWithShape="0">
                  <a:schemeClr val="accent6">
                    <a:lumMod val="50000"/>
                    <a:alpha val="40000"/>
                  </a:schemeClr>
                </a:outerShdw>
              </a:effectLst>
            </a14:hiddenEffects>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28800" rtlCol="0" anchor="t"/>
        <a:lstStyle/>
        <a:p>
          <a:pPr algn="l"/>
          <a:r>
            <a:rPr lang="en-GB" sz="1100" b="1"/>
            <a:t>Evaluate</a:t>
          </a:r>
          <a:r>
            <a:rPr lang="en-GB" sz="1100" b="1" baseline="0"/>
            <a:t> model</a:t>
          </a:r>
          <a:endParaRPr lang="en-GB" sz="1100" b="1"/>
        </a:p>
      </xdr:txBody>
    </xdr:sp>
    <xdr:clientData/>
  </xdr:twoCellAnchor>
  <xdr:twoCellAnchor editAs="absolute">
    <xdr:from>
      <xdr:col>1</xdr:col>
      <xdr:colOff>663584</xdr:colOff>
      <xdr:row>3</xdr:row>
      <xdr:rowOff>15930</xdr:rowOff>
    </xdr:from>
    <xdr:to>
      <xdr:col>2</xdr:col>
      <xdr:colOff>91021</xdr:colOff>
      <xdr:row>3</xdr:row>
      <xdr:rowOff>160767</xdr:rowOff>
    </xdr:to>
    <xdr:pic macro="[0]!HelpModelLoad">
      <xdr:nvPicPr>
        <xdr:cNvPr id="15" name="Picture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1160907" y="1141229"/>
          <a:ext cx="160778" cy="144837"/>
        </a:xfrm>
        <a:prstGeom prst="rect">
          <a:avLst/>
        </a:prstGeom>
        <a:effectLst>
          <a:outerShdw blurRad="50800" dist="25400" dir="2700000" algn="tl" rotWithShape="0">
            <a:schemeClr val="accent6">
              <a:lumMod val="50000"/>
              <a:alpha val="40000"/>
            </a:schemeClr>
          </a:outerShdw>
        </a:effectLst>
      </xdr:spPr>
    </xdr:pic>
    <xdr:clientData/>
  </xdr:twoCellAnchor>
  <xdr:twoCellAnchor editAs="absolute">
    <xdr:from>
      <xdr:col>2</xdr:col>
      <xdr:colOff>8164</xdr:colOff>
      <xdr:row>1</xdr:row>
      <xdr:rowOff>34018</xdr:rowOff>
    </xdr:from>
    <xdr:to>
      <xdr:col>11</xdr:col>
      <xdr:colOff>67455</xdr:colOff>
      <xdr:row>1</xdr:row>
      <xdr:rowOff>265340</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1236889" y="796018"/>
          <a:ext cx="8822291" cy="231322"/>
          <a:chOff x="1229605" y="796018"/>
          <a:chExt cx="8791977" cy="231322"/>
        </a:xfrm>
      </xdr:grpSpPr>
      <xdr:sp macro="" textlink="">
        <xdr:nvSpPr>
          <xdr:cNvPr id="17" name="TextBox 16">
            <a:hlinkClick xmlns:r="http://schemas.openxmlformats.org/officeDocument/2006/relationships" r:id="rId4"/>
            <a:extLst>
              <a:ext uri="{FF2B5EF4-FFF2-40B4-BE49-F238E27FC236}">
                <a16:creationId xmlns:a16="http://schemas.microsoft.com/office/drawing/2014/main" id="{00000000-0008-0000-0600-000011000000}"/>
              </a:ext>
            </a:extLst>
          </xdr:cNvPr>
          <xdr:cNvSpPr txBox="1"/>
        </xdr:nvSpPr>
        <xdr:spPr>
          <a:xfrm>
            <a:off x="2424819" y="805543"/>
            <a:ext cx="1081117" cy="221797"/>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tx2">
                    <a:lumMod val="20000"/>
                    <a:lumOff val="80000"/>
                  </a:schemeClr>
                </a:solidFill>
              </a:rPr>
              <a:t>Input</a:t>
            </a:r>
            <a:r>
              <a:rPr lang="en-GB" sz="1100" b="0" baseline="0">
                <a:solidFill>
                  <a:schemeClr val="tx2">
                    <a:lumMod val="20000"/>
                    <a:lumOff val="80000"/>
                  </a:schemeClr>
                </a:solidFill>
              </a:rPr>
              <a:t> Data</a:t>
            </a:r>
            <a:endParaRPr lang="en-GB" sz="1100" b="0">
              <a:solidFill>
                <a:schemeClr val="tx2">
                  <a:lumMod val="20000"/>
                  <a:lumOff val="80000"/>
                </a:schemeClr>
              </a:solidFill>
            </a:endParaRPr>
          </a:p>
        </xdr:txBody>
      </xdr:sp>
      <xdr:sp macro="" textlink="">
        <xdr:nvSpPr>
          <xdr:cNvPr id="19" name="TextBox 18">
            <a:hlinkClick xmlns:r="http://schemas.openxmlformats.org/officeDocument/2006/relationships" r:id="rId5"/>
            <a:extLst>
              <a:ext uri="{FF2B5EF4-FFF2-40B4-BE49-F238E27FC236}">
                <a16:creationId xmlns:a16="http://schemas.microsoft.com/office/drawing/2014/main" id="{00000000-0008-0000-0600-000013000000}"/>
              </a:ext>
            </a:extLst>
          </xdr:cNvPr>
          <xdr:cNvSpPr txBox="1"/>
        </xdr:nvSpPr>
        <xdr:spPr>
          <a:xfrm>
            <a:off x="3434044" y="805543"/>
            <a:ext cx="1118438" cy="221797"/>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Select Data</a:t>
            </a:r>
          </a:p>
        </xdr:txBody>
      </xdr:sp>
      <xdr:sp macro="" textlink="">
        <xdr:nvSpPr>
          <xdr:cNvPr id="20" name="TextBox 19">
            <a:hlinkClick xmlns:r="http://schemas.openxmlformats.org/officeDocument/2006/relationships" r:id="rId6"/>
            <a:extLst>
              <a:ext uri="{FF2B5EF4-FFF2-40B4-BE49-F238E27FC236}">
                <a16:creationId xmlns:a16="http://schemas.microsoft.com/office/drawing/2014/main" id="{00000000-0008-0000-0600-000014000000}"/>
              </a:ext>
            </a:extLst>
          </xdr:cNvPr>
          <xdr:cNvSpPr txBox="1"/>
        </xdr:nvSpPr>
        <xdr:spPr>
          <a:xfrm>
            <a:off x="1229605" y="805543"/>
            <a:ext cx="1259928" cy="221797"/>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Get Started</a:t>
            </a:r>
          </a:p>
        </xdr:txBody>
      </xdr:sp>
      <xdr:sp macro="" textlink="">
        <xdr:nvSpPr>
          <xdr:cNvPr id="21" name="TextBox 20">
            <a:hlinkClick xmlns:r="http://schemas.openxmlformats.org/officeDocument/2006/relationships" r:id="rId7"/>
            <a:extLst>
              <a:ext uri="{FF2B5EF4-FFF2-40B4-BE49-F238E27FC236}">
                <a16:creationId xmlns:a16="http://schemas.microsoft.com/office/drawing/2014/main" id="{00000000-0008-0000-0600-000015000000}"/>
              </a:ext>
            </a:extLst>
          </xdr:cNvPr>
          <xdr:cNvSpPr txBox="1"/>
        </xdr:nvSpPr>
        <xdr:spPr>
          <a:xfrm>
            <a:off x="4487346" y="805543"/>
            <a:ext cx="1841084" cy="221797"/>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Design &amp; Evaluate</a:t>
            </a:r>
          </a:p>
        </xdr:txBody>
      </xdr:sp>
      <xdr:sp macro="[0]!gotoViewCases" textlink="">
        <xdr:nvSpPr>
          <xdr:cNvPr id="22" name="viewCasesButton">
            <a:extLst>
              <a:ext uri="{FF2B5EF4-FFF2-40B4-BE49-F238E27FC236}">
                <a16:creationId xmlns:a16="http://schemas.microsoft.com/office/drawing/2014/main" id="{00000000-0008-0000-0600-000016000000}"/>
              </a:ext>
            </a:extLst>
          </xdr:cNvPr>
          <xdr:cNvSpPr txBox="1"/>
        </xdr:nvSpPr>
        <xdr:spPr>
          <a:xfrm>
            <a:off x="7473925" y="805543"/>
            <a:ext cx="1173013" cy="221797"/>
          </a:xfrm>
          <a:prstGeom prst="chevron">
            <a:avLst/>
          </a:prstGeom>
          <a:solidFill>
            <a:schemeClr val="accent1">
              <a:lumMod val="50000"/>
            </a:schemeClr>
          </a:solidFill>
          <a:ln w="9525" cmpd="sng">
            <a:noFill/>
          </a:ln>
          <a:effectLst/>
          <a:extLst>
            <a:ext uri="{AF507438-7753-43E0-B8FC-AC1667EBCBE1}">
              <a14:hiddenEffects xmlns:a14="http://schemas.microsoft.com/office/drawing/2010/main">
                <a:effectLst>
                  <a:outerShdw blurRad="63500" dist="37357" dir="2700000" rotWithShape="0">
                    <a:scrgbClr r="0" g="0" b="0"/>
                  </a:outerShdw>
                </a:effectLst>
              </a14:hiddenEffects>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Cases</a:t>
            </a:r>
          </a:p>
        </xdr:txBody>
      </xdr:sp>
      <xdr:sp macro="" textlink="">
        <xdr:nvSpPr>
          <xdr:cNvPr id="23" name="TextBox 22">
            <a:hlinkClick xmlns:r="http://schemas.openxmlformats.org/officeDocument/2006/relationships" r:id="rId8"/>
            <a:extLst>
              <a:ext uri="{FF2B5EF4-FFF2-40B4-BE49-F238E27FC236}">
                <a16:creationId xmlns:a16="http://schemas.microsoft.com/office/drawing/2014/main" id="{00000000-0008-0000-0600-000017000000}"/>
              </a:ext>
            </a:extLst>
          </xdr:cNvPr>
          <xdr:cNvSpPr txBox="1"/>
        </xdr:nvSpPr>
        <xdr:spPr>
          <a:xfrm>
            <a:off x="6258614" y="796018"/>
            <a:ext cx="1287623" cy="221797"/>
          </a:xfrm>
          <a:prstGeom prst="chevron">
            <a:avLst/>
          </a:prstGeom>
          <a:solidFill>
            <a:schemeClr val="tx2">
              <a:lumMod val="50000"/>
            </a:schemeClr>
          </a:solidFill>
          <a:ln w="9525" cmpd="sng">
            <a:noFill/>
          </a:ln>
          <a:effectLst>
            <a:outerShdw blurRad="127000" dist="63500" dir="2700000" algn="tl" rotWithShape="0">
              <a:schemeClr val="tx2">
                <a:lumMod val="50000"/>
                <a:alpha val="63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View Models</a:t>
            </a:r>
          </a:p>
        </xdr:txBody>
      </xdr:sp>
      <xdr:sp macro="[0]!BuildCasesXModels" textlink="">
        <xdr:nvSpPr>
          <xdr:cNvPr id="26" name="compareModelsButton">
            <a:extLst>
              <a:ext uri="{FF2B5EF4-FFF2-40B4-BE49-F238E27FC236}">
                <a16:creationId xmlns:a16="http://schemas.microsoft.com/office/drawing/2014/main" id="{00000000-0008-0000-0600-00001A000000}"/>
              </a:ext>
            </a:extLst>
          </xdr:cNvPr>
          <xdr:cNvSpPr txBox="1"/>
        </xdr:nvSpPr>
        <xdr:spPr>
          <a:xfrm>
            <a:off x="8579784" y="804862"/>
            <a:ext cx="1441798" cy="219456"/>
          </a:xfrm>
          <a:prstGeom prst="chevron">
            <a:avLst/>
          </a:prstGeom>
          <a:solidFill>
            <a:schemeClr val="accent1">
              <a:lumMod val="50000"/>
            </a:schemeClr>
          </a:solidFill>
          <a:ln w="9525" cmpd="sng">
            <a:noFill/>
          </a:ln>
          <a:effectLst/>
          <a:extLst>
            <a:ext uri="{AF507438-7753-43E0-B8FC-AC1667EBCBE1}">
              <a14:hiddenEffects xmlns:a14="http://schemas.microsoft.com/office/drawing/2010/main">
                <a:effectLst>
                  <a:outerShdw blurRad="63500" dist="37357" dir="2700000" rotWithShape="0">
                    <a:scrgbClr r="0" g="0" b="0"/>
                  </a:outerShdw>
                </a:effectLst>
              </a14:hiddenEffects>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Compare  </a:t>
            </a:r>
            <a:r>
              <a:rPr lang="en-GB" sz="1100" b="0" baseline="0">
                <a:solidFill>
                  <a:schemeClr val="accent1">
                    <a:lumMod val="40000"/>
                    <a:lumOff val="60000"/>
                  </a:schemeClr>
                </a:solidFill>
              </a:rPr>
              <a:t>Models</a:t>
            </a:r>
          </a:p>
        </xdr:txBody>
      </xdr:sp>
    </xdr:grpSp>
    <xdr:clientData/>
  </xdr:twoCellAnchor>
  <xdr:twoCellAnchor>
    <xdr:from>
      <xdr:col>2</xdr:col>
      <xdr:colOff>230895</xdr:colOff>
      <xdr:row>2</xdr:row>
      <xdr:rowOff>31609</xdr:rowOff>
    </xdr:from>
    <xdr:to>
      <xdr:col>14</xdr:col>
      <xdr:colOff>480463</xdr:colOff>
      <xdr:row>4</xdr:row>
      <xdr:rowOff>5821</xdr:rowOff>
    </xdr:to>
    <xdr:sp macro="" textlink="SelectedModel">
      <xdr:nvSpPr>
        <xdr:cNvPr id="6" name="TextBox 5">
          <a:extLst>
            <a:ext uri="{FF2B5EF4-FFF2-40B4-BE49-F238E27FC236}">
              <a16:creationId xmlns:a16="http://schemas.microsoft.com/office/drawing/2014/main" id="{00000000-0008-0000-0600-000006000000}"/>
            </a:ext>
          </a:extLst>
        </xdr:cNvPr>
        <xdr:cNvSpPr txBox="1"/>
      </xdr:nvSpPr>
      <xdr:spPr>
        <a:xfrm>
          <a:off x="1457691" y="1107693"/>
          <a:ext cx="14766150" cy="2123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18000" rtlCol="0" anchor="t"/>
        <a:lstStyle/>
        <a:p>
          <a:fld id="{A3EFF078-6D50-4F35-BFE0-530E73D099CD}" type="TxLink">
            <a:rPr lang="en-US" sz="1100" b="0" i="0" u="none" strike="noStrike">
              <a:solidFill>
                <a:srgbClr val="1F497D"/>
              </a:solidFill>
              <a:latin typeface="Calibri"/>
            </a:rPr>
            <a:pPr/>
            <a:t> </a:t>
          </a:fld>
          <a:endParaRPr lang="en-GB" sz="1100"/>
        </a:p>
      </xdr:txBody>
    </xdr:sp>
    <xdr:clientData/>
  </xdr:twoCellAnchor>
  <xdr:twoCellAnchor editAs="absolute">
    <xdr:from>
      <xdr:col>0</xdr:col>
      <xdr:colOff>190498</xdr:colOff>
      <xdr:row>5</xdr:row>
      <xdr:rowOff>85724</xdr:rowOff>
    </xdr:from>
    <xdr:to>
      <xdr:col>4</xdr:col>
      <xdr:colOff>455612</xdr:colOff>
      <xdr:row>6</xdr:row>
      <xdr:rowOff>133350</xdr:rowOff>
    </xdr:to>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190498" y="1438274"/>
          <a:ext cx="4695827" cy="2381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tlCol="0" anchor="t"/>
        <a:lstStyle/>
        <a:p>
          <a:r>
            <a:rPr lang="en-GB" sz="1000">
              <a:solidFill>
                <a:schemeClr val="tx2"/>
              </a:solidFill>
            </a:rPr>
            <a:t>Select</a:t>
          </a:r>
          <a:r>
            <a:rPr lang="en-GB" sz="1000" baseline="0">
              <a:solidFill>
                <a:schemeClr val="tx2"/>
              </a:solidFill>
            </a:rPr>
            <a:t> multiple models to compare by holding down Control while you click</a:t>
          </a:r>
          <a:endParaRPr lang="en-GB" sz="1000">
            <a:solidFill>
              <a:schemeClr val="tx2"/>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57150</xdr:colOff>
      <xdr:row>2</xdr:row>
      <xdr:rowOff>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057275" cy="1076325"/>
        </a:xfrm>
        <a:prstGeom prst="rect">
          <a:avLst/>
        </a:prstGeom>
      </xdr:spPr>
    </xdr:pic>
    <xdr:clientData/>
  </xdr:twoCellAnchor>
  <xdr:twoCellAnchor editAs="absolute">
    <xdr:from>
      <xdr:col>1</xdr:col>
      <xdr:colOff>209550</xdr:colOff>
      <xdr:row>0</xdr:row>
      <xdr:rowOff>247650</xdr:rowOff>
    </xdr:from>
    <xdr:to>
      <xdr:col>6</xdr:col>
      <xdr:colOff>107156</xdr:colOff>
      <xdr:row>0</xdr:row>
      <xdr:rowOff>561975</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1209675" y="247650"/>
          <a:ext cx="4396997" cy="314325"/>
        </a:xfrm>
        <a:prstGeom prst="rect">
          <a:avLst/>
        </a:prstGeom>
        <a:solidFill>
          <a:srgbClr val="4F81BD"/>
        </a:solidFill>
        <a:ln w="25400" cap="flat" cmpd="sng" algn="ctr">
          <a:no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GB" sz="2400" b="1" i="0" u="none" strike="noStrike" kern="0" cap="none" spc="0" normalizeH="0" baseline="0" noProof="0">
              <a:ln>
                <a:noFill/>
              </a:ln>
              <a:solidFill>
                <a:sysClr val="window" lastClr="FFFFFF"/>
              </a:solidFill>
              <a:effectLst/>
              <a:uLnTx/>
              <a:uFillTx/>
              <a:latin typeface="Calibri"/>
              <a:ea typeface="+mn-ea"/>
              <a:cs typeface="+mn-cs"/>
            </a:rPr>
            <a:t>Decision Tree</a:t>
          </a:r>
          <a:endParaRPr kumimoji="0" lang="en-GB" sz="2400" b="1" i="0" u="sng"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editAs="absolute">
    <xdr:from>
      <xdr:col>3</xdr:col>
      <xdr:colOff>617458</xdr:colOff>
      <xdr:row>0</xdr:row>
      <xdr:rowOff>332978</xdr:rowOff>
    </xdr:from>
    <xdr:to>
      <xdr:col>3</xdr:col>
      <xdr:colOff>794380</xdr:colOff>
      <xdr:row>0</xdr:row>
      <xdr:rowOff>501328</xdr:rowOff>
    </xdr:to>
    <xdr:pic macro="[0]!HelpDecisionTreeModel">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3132058" y="332978"/>
          <a:ext cx="176922" cy="168350"/>
        </a:xfrm>
        <a:prstGeom prst="rect">
          <a:avLst/>
        </a:prstGeom>
        <a:effectLst>
          <a:outerShdw blurRad="50800" dist="38100" dir="2700000" algn="tl" rotWithShape="0">
            <a:schemeClr val="accent1">
              <a:lumMod val="50000"/>
              <a:alpha val="40000"/>
            </a:schemeClr>
          </a:outerShdw>
        </a:effectLst>
      </xdr:spPr>
    </xdr:pic>
    <xdr:clientData/>
  </xdr:twoCellAnchor>
  <xdr:twoCellAnchor editAs="absolute">
    <xdr:from>
      <xdr:col>1</xdr:col>
      <xdr:colOff>232834</xdr:colOff>
      <xdr:row>1</xdr:row>
      <xdr:rowOff>56647</xdr:rowOff>
    </xdr:from>
    <xdr:to>
      <xdr:col>12</xdr:col>
      <xdr:colOff>280117</xdr:colOff>
      <xdr:row>1</xdr:row>
      <xdr:rowOff>276606</xdr:rowOff>
    </xdr:to>
    <xdr:grpSp>
      <xdr:nvGrpSpPr>
        <xdr:cNvPr id="5" name="Group 4">
          <a:extLst>
            <a:ext uri="{FF2B5EF4-FFF2-40B4-BE49-F238E27FC236}">
              <a16:creationId xmlns:a16="http://schemas.microsoft.com/office/drawing/2014/main" id="{00000000-0008-0000-0900-000005000000}"/>
            </a:ext>
          </a:extLst>
        </xdr:cNvPr>
        <xdr:cNvGrpSpPr/>
      </xdr:nvGrpSpPr>
      <xdr:grpSpPr>
        <a:xfrm>
          <a:off x="1232959" y="818647"/>
          <a:ext cx="9105558" cy="219959"/>
          <a:chOff x="1243013" y="820631"/>
          <a:chExt cx="8994066" cy="219959"/>
        </a:xfrm>
      </xdr:grpSpPr>
      <xdr:sp macro="" textlink="">
        <xdr:nvSpPr>
          <xdr:cNvPr id="6" name="TextBox 5">
            <a:hlinkClick xmlns:r="http://schemas.openxmlformats.org/officeDocument/2006/relationships" r:id="rId4"/>
            <a:extLst>
              <a:ext uri="{FF2B5EF4-FFF2-40B4-BE49-F238E27FC236}">
                <a16:creationId xmlns:a16="http://schemas.microsoft.com/office/drawing/2014/main" id="{00000000-0008-0000-0900-000006000000}"/>
              </a:ext>
            </a:extLst>
          </xdr:cNvPr>
          <xdr:cNvSpPr txBox="1"/>
        </xdr:nvSpPr>
        <xdr:spPr>
          <a:xfrm>
            <a:off x="2491159" y="821134"/>
            <a:ext cx="1136296"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Input</a:t>
            </a:r>
            <a:r>
              <a:rPr lang="en-GB" sz="1100" b="0" baseline="0">
                <a:solidFill>
                  <a:schemeClr val="accent1">
                    <a:lumMod val="40000"/>
                    <a:lumOff val="60000"/>
                  </a:schemeClr>
                </a:solidFill>
              </a:rPr>
              <a:t> Data</a:t>
            </a:r>
            <a:endParaRPr lang="en-GB" sz="1100" b="0">
              <a:solidFill>
                <a:schemeClr val="accent1">
                  <a:lumMod val="40000"/>
                  <a:lumOff val="60000"/>
                </a:schemeClr>
              </a:solidFill>
            </a:endParaRPr>
          </a:p>
        </xdr:txBody>
      </xdr:sp>
      <xdr:sp macro="" textlink="">
        <xdr:nvSpPr>
          <xdr:cNvPr id="7" name="TextBox 6">
            <a:hlinkClick xmlns:r="http://schemas.openxmlformats.org/officeDocument/2006/relationships" r:id="rId5"/>
            <a:extLst>
              <a:ext uri="{FF2B5EF4-FFF2-40B4-BE49-F238E27FC236}">
                <a16:creationId xmlns:a16="http://schemas.microsoft.com/office/drawing/2014/main" id="{00000000-0008-0000-0900-000007000000}"/>
              </a:ext>
            </a:extLst>
          </xdr:cNvPr>
          <xdr:cNvSpPr txBox="1"/>
        </xdr:nvSpPr>
        <xdr:spPr>
          <a:xfrm>
            <a:off x="3551947" y="821134"/>
            <a:ext cx="1177083"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Select Data</a:t>
            </a:r>
          </a:p>
        </xdr:txBody>
      </xdr:sp>
      <xdr:sp macro="" textlink="">
        <xdr:nvSpPr>
          <xdr:cNvPr id="8" name="TextBox 7">
            <a:hlinkClick xmlns:r="http://schemas.openxmlformats.org/officeDocument/2006/relationships" r:id="rId6"/>
            <a:extLst>
              <a:ext uri="{FF2B5EF4-FFF2-40B4-BE49-F238E27FC236}">
                <a16:creationId xmlns:a16="http://schemas.microsoft.com/office/drawing/2014/main" id="{00000000-0008-0000-0900-000008000000}"/>
              </a:ext>
            </a:extLst>
          </xdr:cNvPr>
          <xdr:cNvSpPr txBox="1"/>
        </xdr:nvSpPr>
        <xdr:spPr>
          <a:xfrm>
            <a:off x="1243013" y="821134"/>
            <a:ext cx="1322911"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Get Started</a:t>
            </a:r>
          </a:p>
        </xdr:txBody>
      </xdr:sp>
      <xdr:sp macro="" textlink="">
        <xdr:nvSpPr>
          <xdr:cNvPr id="9" name="TextBox 8">
            <a:hlinkClick xmlns:r="http://schemas.openxmlformats.org/officeDocument/2006/relationships" r:id="rId7"/>
            <a:extLst>
              <a:ext uri="{FF2B5EF4-FFF2-40B4-BE49-F238E27FC236}">
                <a16:creationId xmlns:a16="http://schemas.microsoft.com/office/drawing/2014/main" id="{00000000-0008-0000-0900-000009000000}"/>
              </a:ext>
            </a:extLst>
          </xdr:cNvPr>
          <xdr:cNvSpPr txBox="1"/>
        </xdr:nvSpPr>
        <xdr:spPr>
          <a:xfrm>
            <a:off x="4653822" y="821134"/>
            <a:ext cx="1928540"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Design &amp; Evaluate</a:t>
            </a:r>
          </a:p>
        </xdr:txBody>
      </xdr:sp>
      <xdr:sp macro="" textlink="">
        <xdr:nvSpPr>
          <xdr:cNvPr id="10" name="TextBox 9">
            <a:hlinkClick xmlns:r="http://schemas.openxmlformats.org/officeDocument/2006/relationships" r:id="rId8"/>
            <a:extLst>
              <a:ext uri="{FF2B5EF4-FFF2-40B4-BE49-F238E27FC236}">
                <a16:creationId xmlns:a16="http://schemas.microsoft.com/office/drawing/2014/main" id="{00000000-0008-0000-0900-00000A000000}"/>
              </a:ext>
            </a:extLst>
          </xdr:cNvPr>
          <xdr:cNvSpPr txBox="1"/>
        </xdr:nvSpPr>
        <xdr:spPr>
          <a:xfrm>
            <a:off x="7662006" y="821134"/>
            <a:ext cx="1228053"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tx2">
                    <a:lumMod val="20000"/>
                    <a:lumOff val="80000"/>
                  </a:schemeClr>
                </a:solidFill>
              </a:rPr>
              <a:t>View</a:t>
            </a:r>
            <a:r>
              <a:rPr lang="en-GB" sz="1100" b="1">
                <a:solidFill>
                  <a:schemeClr val="tx2">
                    <a:lumMod val="20000"/>
                    <a:lumOff val="80000"/>
                  </a:schemeClr>
                </a:solidFill>
              </a:rPr>
              <a:t> </a:t>
            </a:r>
            <a:r>
              <a:rPr lang="en-GB" sz="1100" b="0">
                <a:solidFill>
                  <a:schemeClr val="tx2">
                    <a:lumMod val="20000"/>
                    <a:lumOff val="80000"/>
                  </a:schemeClr>
                </a:solidFill>
              </a:rPr>
              <a:t>Cases</a:t>
            </a:r>
          </a:p>
        </xdr:txBody>
      </xdr:sp>
      <xdr:sp macro="" textlink="">
        <xdr:nvSpPr>
          <xdr:cNvPr id="11" name="TextBox 10">
            <a:hlinkClick xmlns:r="http://schemas.openxmlformats.org/officeDocument/2006/relationships" r:id="rId9"/>
            <a:extLst>
              <a:ext uri="{FF2B5EF4-FFF2-40B4-BE49-F238E27FC236}">
                <a16:creationId xmlns:a16="http://schemas.microsoft.com/office/drawing/2014/main" id="{00000000-0008-0000-0900-00000B000000}"/>
              </a:ext>
            </a:extLst>
          </xdr:cNvPr>
          <xdr:cNvSpPr txBox="1"/>
        </xdr:nvSpPr>
        <xdr:spPr>
          <a:xfrm>
            <a:off x="6504695" y="821134"/>
            <a:ext cx="1232627"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Models</a:t>
            </a:r>
          </a:p>
        </xdr:txBody>
      </xdr:sp>
      <xdr:sp macro="" textlink="">
        <xdr:nvSpPr>
          <xdr:cNvPr id="12" name="TextBox 11">
            <a:hlinkClick xmlns:r="http://schemas.openxmlformats.org/officeDocument/2006/relationships" r:id="rId10"/>
            <a:extLst>
              <a:ext uri="{FF2B5EF4-FFF2-40B4-BE49-F238E27FC236}">
                <a16:creationId xmlns:a16="http://schemas.microsoft.com/office/drawing/2014/main" id="{00000000-0008-0000-0900-00000C000000}"/>
              </a:ext>
            </a:extLst>
          </xdr:cNvPr>
          <xdr:cNvSpPr txBox="1"/>
        </xdr:nvSpPr>
        <xdr:spPr>
          <a:xfrm>
            <a:off x="8814711" y="820631"/>
            <a:ext cx="1422368"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tx2">
                    <a:lumMod val="20000"/>
                    <a:lumOff val="80000"/>
                  </a:schemeClr>
                </a:solidFill>
              </a:rPr>
              <a:t>Compare Models</a:t>
            </a:r>
          </a:p>
        </xdr:txBody>
      </xdr:sp>
    </xdr:grpSp>
    <xdr:clientData/>
  </xdr:twoCellAnchor>
  <xdr:twoCellAnchor editAs="absolute">
    <xdr:from>
      <xdr:col>0</xdr:col>
      <xdr:colOff>76199</xdr:colOff>
      <xdr:row>2</xdr:row>
      <xdr:rowOff>19050</xdr:rowOff>
    </xdr:from>
    <xdr:to>
      <xdr:col>1</xdr:col>
      <xdr:colOff>409575</xdr:colOff>
      <xdr:row>4</xdr:row>
      <xdr:rowOff>19711</xdr:rowOff>
    </xdr:to>
    <xdr:sp macro="[0]!loadDTModel" textlink="">
      <xdr:nvSpPr>
        <xdr:cNvPr id="13" name="loadButton">
          <a:extLst>
            <a:ext uri="{FF2B5EF4-FFF2-40B4-BE49-F238E27FC236}">
              <a16:creationId xmlns:a16="http://schemas.microsoft.com/office/drawing/2014/main" id="{00000000-0008-0000-0900-00000D000000}"/>
            </a:ext>
          </a:extLst>
        </xdr:cNvPr>
        <xdr:cNvSpPr/>
      </xdr:nvSpPr>
      <xdr:spPr>
        <a:xfrm>
          <a:off x="76199" y="1095375"/>
          <a:ext cx="1333501" cy="238786"/>
        </a:xfrm>
        <a:custGeom>
          <a:avLst/>
          <a:gdLst>
            <a:gd name="connsiteX0" fmla="*/ 0 w 1276351"/>
            <a:gd name="connsiteY0" fmla="*/ 0 h 285750"/>
            <a:gd name="connsiteX1" fmla="*/ 1133476 w 1276351"/>
            <a:gd name="connsiteY1" fmla="*/ 0 h 285750"/>
            <a:gd name="connsiteX2" fmla="*/ 1276351 w 1276351"/>
            <a:gd name="connsiteY2" fmla="*/ 142875 h 285750"/>
            <a:gd name="connsiteX3" fmla="*/ 1133476 w 1276351"/>
            <a:gd name="connsiteY3" fmla="*/ 285750 h 285750"/>
            <a:gd name="connsiteX4" fmla="*/ 0 w 1276351"/>
            <a:gd name="connsiteY4" fmla="*/ 285750 h 285750"/>
            <a:gd name="connsiteX5" fmla="*/ 0 w 1276351"/>
            <a:gd name="connsiteY5" fmla="*/ 0 h 285750"/>
            <a:gd name="connsiteX0" fmla="*/ 0 w 1143001"/>
            <a:gd name="connsiteY0" fmla="*/ 0 h 285750"/>
            <a:gd name="connsiteX1" fmla="*/ 1133476 w 1143001"/>
            <a:gd name="connsiteY1" fmla="*/ 0 h 285750"/>
            <a:gd name="connsiteX2" fmla="*/ 1143001 w 1143001"/>
            <a:gd name="connsiteY2" fmla="*/ 142875 h 285750"/>
            <a:gd name="connsiteX3" fmla="*/ 1133476 w 1143001"/>
            <a:gd name="connsiteY3" fmla="*/ 285750 h 285750"/>
            <a:gd name="connsiteX4" fmla="*/ 0 w 1143001"/>
            <a:gd name="connsiteY4" fmla="*/ 285750 h 285750"/>
            <a:gd name="connsiteX5" fmla="*/ 0 w 1143001"/>
            <a:gd name="connsiteY5" fmla="*/ 0 h 285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143001" h="285750">
              <a:moveTo>
                <a:pt x="0" y="0"/>
              </a:moveTo>
              <a:lnTo>
                <a:pt x="1133476" y="0"/>
              </a:lnTo>
              <a:lnTo>
                <a:pt x="1143001" y="142875"/>
              </a:lnTo>
              <a:lnTo>
                <a:pt x="1133476" y="285750"/>
              </a:lnTo>
              <a:lnTo>
                <a:pt x="0" y="285750"/>
              </a:lnTo>
              <a:lnTo>
                <a:pt x="0" y="0"/>
              </a:lnTo>
              <a:close/>
            </a:path>
          </a:pathLst>
        </a:custGeom>
        <a:solidFill>
          <a:schemeClr val="tx1">
            <a:lumMod val="50000"/>
            <a:lumOff val="50000"/>
          </a:schemeClr>
        </a:solidFill>
        <a:ln>
          <a:noFill/>
        </a:ln>
        <a:effectLst/>
        <a:extLst>
          <a:ext uri="{AF507438-7753-43E0-B8FC-AC1667EBCBE1}">
            <a14:hiddenEffects xmlns:a14="http://schemas.microsoft.com/office/drawing/2010/main">
              <a:effectLst>
                <a:outerShdw blurRad="63500" dist="37357" dir="2700000" rotWithShape="0">
                  <a:prstClr val="black">
                    <a:alpha val="40000"/>
                  </a:prstClr>
                </a:outerShdw>
              </a:effectLst>
            </a14:hiddenEffects>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solidFill>
            </a:rPr>
            <a:t>Evaluate Model</a:t>
          </a:r>
        </a:p>
      </xdr:txBody>
    </xdr:sp>
    <xdr:clientData/>
  </xdr:twoCellAnchor>
  <xdr:twoCellAnchor editAs="absolute">
    <xdr:from>
      <xdr:col>1</xdr:col>
      <xdr:colOff>190500</xdr:colOff>
      <xdr:row>3</xdr:row>
      <xdr:rowOff>19050</xdr:rowOff>
    </xdr:from>
    <xdr:to>
      <xdr:col>1</xdr:col>
      <xdr:colOff>351362</xdr:colOff>
      <xdr:row>3</xdr:row>
      <xdr:rowOff>163887</xdr:rowOff>
    </xdr:to>
    <xdr:pic macro="[0]!HelpLoadDecisionTreeModel">
      <xdr:nvPicPr>
        <xdr:cNvPr id="14" name="Picture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1190625" y="1143000"/>
          <a:ext cx="160862" cy="144837"/>
        </a:xfrm>
        <a:prstGeom prst="rect">
          <a:avLst/>
        </a:prstGeom>
        <a:effectLst>
          <a:outerShdw blurRad="50800" dist="25400" dir="2700000" algn="tl" rotWithShape="0">
            <a:schemeClr val="accent6">
              <a:lumMod val="50000"/>
              <a:alpha val="40000"/>
            </a:schemeClr>
          </a:outerShdw>
        </a:effectLst>
      </xdr:spPr>
    </xdr:pic>
    <xdr:clientData/>
  </xdr:twoCellAnchor>
  <xdr:twoCellAnchor editAs="absolute">
    <xdr:from>
      <xdr:col>1</xdr:col>
      <xdr:colOff>495300</xdr:colOff>
      <xdr:row>2</xdr:row>
      <xdr:rowOff>19050</xdr:rowOff>
    </xdr:from>
    <xdr:to>
      <xdr:col>3</xdr:col>
      <xdr:colOff>314324</xdr:colOff>
      <xdr:row>4</xdr:row>
      <xdr:rowOff>19711</xdr:rowOff>
    </xdr:to>
    <xdr:sp macro="[0]!saveDTModel" textlink="">
      <xdr:nvSpPr>
        <xdr:cNvPr id="15" name="saveButton">
          <a:extLst>
            <a:ext uri="{FF2B5EF4-FFF2-40B4-BE49-F238E27FC236}">
              <a16:creationId xmlns:a16="http://schemas.microsoft.com/office/drawing/2014/main" id="{00000000-0008-0000-0900-00000F000000}"/>
            </a:ext>
          </a:extLst>
        </xdr:cNvPr>
        <xdr:cNvSpPr/>
      </xdr:nvSpPr>
      <xdr:spPr>
        <a:xfrm>
          <a:off x="1495425" y="1095375"/>
          <a:ext cx="1333499" cy="238786"/>
        </a:xfrm>
        <a:custGeom>
          <a:avLst/>
          <a:gdLst>
            <a:gd name="connsiteX0" fmla="*/ 0 w 1276351"/>
            <a:gd name="connsiteY0" fmla="*/ 0 h 285750"/>
            <a:gd name="connsiteX1" fmla="*/ 1133476 w 1276351"/>
            <a:gd name="connsiteY1" fmla="*/ 0 h 285750"/>
            <a:gd name="connsiteX2" fmla="*/ 1276351 w 1276351"/>
            <a:gd name="connsiteY2" fmla="*/ 142875 h 285750"/>
            <a:gd name="connsiteX3" fmla="*/ 1133476 w 1276351"/>
            <a:gd name="connsiteY3" fmla="*/ 285750 h 285750"/>
            <a:gd name="connsiteX4" fmla="*/ 0 w 1276351"/>
            <a:gd name="connsiteY4" fmla="*/ 285750 h 285750"/>
            <a:gd name="connsiteX5" fmla="*/ 0 w 1276351"/>
            <a:gd name="connsiteY5" fmla="*/ 0 h 285750"/>
            <a:gd name="connsiteX0" fmla="*/ 0 w 1143001"/>
            <a:gd name="connsiteY0" fmla="*/ 0 h 285750"/>
            <a:gd name="connsiteX1" fmla="*/ 1133476 w 1143001"/>
            <a:gd name="connsiteY1" fmla="*/ 0 h 285750"/>
            <a:gd name="connsiteX2" fmla="*/ 1143001 w 1143001"/>
            <a:gd name="connsiteY2" fmla="*/ 142875 h 285750"/>
            <a:gd name="connsiteX3" fmla="*/ 1133476 w 1143001"/>
            <a:gd name="connsiteY3" fmla="*/ 285750 h 285750"/>
            <a:gd name="connsiteX4" fmla="*/ 0 w 1143001"/>
            <a:gd name="connsiteY4" fmla="*/ 285750 h 285750"/>
            <a:gd name="connsiteX5" fmla="*/ 0 w 1143001"/>
            <a:gd name="connsiteY5" fmla="*/ 0 h 285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143001" h="285750">
              <a:moveTo>
                <a:pt x="0" y="0"/>
              </a:moveTo>
              <a:lnTo>
                <a:pt x="1133476" y="0"/>
              </a:lnTo>
              <a:lnTo>
                <a:pt x="1143001" y="142875"/>
              </a:lnTo>
              <a:lnTo>
                <a:pt x="1133476" y="285750"/>
              </a:lnTo>
              <a:lnTo>
                <a:pt x="0" y="285750"/>
              </a:lnTo>
              <a:lnTo>
                <a:pt x="0" y="0"/>
              </a:lnTo>
              <a:close/>
            </a:path>
          </a:pathLst>
        </a:cu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solidFill>
            </a:rPr>
            <a:t>Save Model(s)</a:t>
          </a:r>
        </a:p>
      </xdr:txBody>
    </xdr:sp>
    <xdr:clientData/>
  </xdr:twoCellAnchor>
  <xdr:twoCellAnchor editAs="absolute">
    <xdr:from>
      <xdr:col>3</xdr:col>
      <xdr:colOff>66675</xdr:colOff>
      <xdr:row>3</xdr:row>
      <xdr:rowOff>28575</xdr:rowOff>
    </xdr:from>
    <xdr:to>
      <xdr:col>3</xdr:col>
      <xdr:colOff>219075</xdr:colOff>
      <xdr:row>3</xdr:row>
      <xdr:rowOff>173412</xdr:rowOff>
    </xdr:to>
    <xdr:pic macro="[0]!HelpSaveDecisionTreeModel">
      <xdr:nvPicPr>
        <xdr:cNvPr id="16" name="Picture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2581275" y="1152525"/>
          <a:ext cx="152400" cy="144837"/>
        </a:xfrm>
        <a:prstGeom prst="rect">
          <a:avLst/>
        </a:prstGeom>
        <a:effectLst>
          <a:outerShdw blurRad="50800" dist="25400" dir="2700000" algn="tl" rotWithShape="0">
            <a:schemeClr val="accent6">
              <a:lumMod val="50000"/>
              <a:alpha val="40000"/>
            </a:schemeClr>
          </a:outerShdw>
        </a:effec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461962</xdr:colOff>
      <xdr:row>2</xdr:row>
      <xdr:rowOff>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076325" cy="1076325"/>
        </a:xfrm>
        <a:prstGeom prst="rect">
          <a:avLst/>
        </a:prstGeom>
      </xdr:spPr>
    </xdr:pic>
    <xdr:clientData/>
  </xdr:twoCellAnchor>
  <xdr:twoCellAnchor editAs="absolute">
    <xdr:from>
      <xdr:col>1</xdr:col>
      <xdr:colOff>614362</xdr:colOff>
      <xdr:row>0</xdr:row>
      <xdr:rowOff>247650</xdr:rowOff>
    </xdr:from>
    <xdr:to>
      <xdr:col>4</xdr:col>
      <xdr:colOff>246328</xdr:colOff>
      <xdr:row>0</xdr:row>
      <xdr:rowOff>561975</xdr:rowOff>
    </xdr:to>
    <xdr:sp macro="" textlink="">
      <xdr:nvSpPr>
        <xdr:cNvPr id="18" name="Rectangle 17">
          <a:extLst>
            <a:ext uri="{FF2B5EF4-FFF2-40B4-BE49-F238E27FC236}">
              <a16:creationId xmlns:a16="http://schemas.microsoft.com/office/drawing/2014/main" id="{00000000-0008-0000-0A00-000012000000}"/>
            </a:ext>
          </a:extLst>
        </xdr:cNvPr>
        <xdr:cNvSpPr/>
      </xdr:nvSpPr>
      <xdr:spPr>
        <a:xfrm>
          <a:off x="1209675" y="247650"/>
          <a:ext cx="2028826" cy="314325"/>
        </a:xfrm>
        <a:prstGeom prst="rect">
          <a:avLst/>
        </a:prstGeom>
        <a:solidFill>
          <a:srgbClr val="4F81BD"/>
        </a:solidFill>
        <a:ln w="25400" cap="flat" cmpd="sng" algn="ctr">
          <a:no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GB" sz="2400" b="1" i="0" u="none" strike="noStrike" kern="0" cap="none" spc="0" normalizeH="0" baseline="0" noProof="0">
              <a:ln>
                <a:noFill/>
              </a:ln>
              <a:solidFill>
                <a:sysClr val="window" lastClr="FFFFFF"/>
              </a:solidFill>
              <a:effectLst/>
              <a:uLnTx/>
              <a:uFillTx/>
              <a:latin typeface="Calibri"/>
              <a:ea typeface="+mn-ea"/>
              <a:cs typeface="+mn-cs"/>
            </a:rPr>
            <a:t>View Cases</a:t>
          </a:r>
          <a:endParaRPr kumimoji="0" lang="en-GB" sz="2400" b="1" i="0" u="sng"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editAs="absolute">
    <xdr:from>
      <xdr:col>3</xdr:col>
      <xdr:colOff>760448</xdr:colOff>
      <xdr:row>0</xdr:row>
      <xdr:rowOff>333375</xdr:rowOff>
    </xdr:from>
    <xdr:to>
      <xdr:col>4</xdr:col>
      <xdr:colOff>56838</xdr:colOff>
      <xdr:row>0</xdr:row>
      <xdr:rowOff>501725</xdr:rowOff>
    </xdr:to>
    <xdr:pic macro="[0]!HelpViewCases">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2797211" y="333375"/>
          <a:ext cx="182214" cy="168350"/>
        </a:xfrm>
        <a:prstGeom prst="rect">
          <a:avLst/>
        </a:prstGeom>
        <a:effectLst>
          <a:outerShdw blurRad="50800" dist="38100" dir="2700000" algn="tl" rotWithShape="0">
            <a:schemeClr val="accent1">
              <a:lumMod val="50000"/>
              <a:alpha val="40000"/>
            </a:schemeClr>
          </a:outerShdw>
        </a:effectLst>
      </xdr:spPr>
    </xdr:pic>
    <xdr:clientData/>
  </xdr:twoCellAnchor>
  <xdr:twoCellAnchor editAs="absolute">
    <xdr:from>
      <xdr:col>2</xdr:col>
      <xdr:colOff>536587</xdr:colOff>
      <xdr:row>2</xdr:row>
      <xdr:rowOff>52917</xdr:rowOff>
    </xdr:from>
    <xdr:to>
      <xdr:col>4</xdr:col>
      <xdr:colOff>608014</xdr:colOff>
      <xdr:row>3</xdr:row>
      <xdr:rowOff>95251</xdr:rowOff>
    </xdr:to>
    <xdr:grpSp>
      <xdr:nvGrpSpPr>
        <xdr:cNvPr id="6" name="Group 5">
          <a:extLst>
            <a:ext uri="{FF2B5EF4-FFF2-40B4-BE49-F238E27FC236}">
              <a16:creationId xmlns:a16="http://schemas.microsoft.com/office/drawing/2014/main" id="{00000000-0008-0000-0A00-000006000000}"/>
            </a:ext>
          </a:extLst>
        </xdr:cNvPr>
        <xdr:cNvGrpSpPr/>
      </xdr:nvGrpSpPr>
      <xdr:grpSpPr>
        <a:xfrm>
          <a:off x="1841512" y="1129242"/>
          <a:ext cx="1690677" cy="232834"/>
          <a:chOff x="2247634" y="1132417"/>
          <a:chExt cx="1694635" cy="232834"/>
        </a:xfrm>
      </xdr:grpSpPr>
      <xdr:sp macro="[0]!CalculateSimilarityMatrix" textlink="">
        <xdr:nvSpPr>
          <xdr:cNvPr id="14" name="CalcSimButton">
            <a:extLst>
              <a:ext uri="{FF2B5EF4-FFF2-40B4-BE49-F238E27FC236}">
                <a16:creationId xmlns:a16="http://schemas.microsoft.com/office/drawing/2014/main" id="{00000000-0008-0000-0A00-00000E000000}"/>
              </a:ext>
            </a:extLst>
          </xdr:cNvPr>
          <xdr:cNvSpPr/>
        </xdr:nvSpPr>
        <xdr:spPr>
          <a:xfrm>
            <a:off x="2247634" y="1132417"/>
            <a:ext cx="1694635" cy="232834"/>
          </a:xfrm>
          <a:prstGeom prst="rect">
            <a:avLst/>
          </a:prstGeom>
          <a:solidFill>
            <a:schemeClr val="accent6">
              <a:lumMod val="75000"/>
            </a:schemeClr>
          </a:solidFill>
          <a:ln>
            <a:noFill/>
          </a:ln>
          <a:effectLst>
            <a:outerShdw blurRad="63500" dist="37357" dir="27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0" baseline="0">
                <a:solidFill>
                  <a:schemeClr val="bg1"/>
                </a:solidFill>
              </a:rPr>
              <a:t>Calculate  Similarity</a:t>
            </a:r>
            <a:endParaRPr lang="en-GB" sz="1100" b="0">
              <a:solidFill>
                <a:schemeClr val="bg1"/>
              </a:solidFill>
            </a:endParaRPr>
          </a:p>
        </xdr:txBody>
      </xdr:sp>
      <xdr:pic macro="[0]!HelpHammingDistances">
        <xdr:nvPicPr>
          <xdr:cNvPr id="15" name="Picture 14">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3715350" y="1174751"/>
            <a:ext cx="174276" cy="168350"/>
          </a:xfrm>
          <a:prstGeom prst="rect">
            <a:avLst/>
          </a:prstGeom>
        </xdr:spPr>
      </xdr:pic>
    </xdr:grpSp>
    <xdr:clientData/>
  </xdr:twoCellAnchor>
  <xdr:twoCellAnchor editAs="absolute">
    <xdr:from>
      <xdr:col>1</xdr:col>
      <xdr:colOff>642937</xdr:colOff>
      <xdr:row>1</xdr:row>
      <xdr:rowOff>61912</xdr:rowOff>
    </xdr:from>
    <xdr:to>
      <xdr:col>9</xdr:col>
      <xdr:colOff>2095093</xdr:colOff>
      <xdr:row>1</xdr:row>
      <xdr:rowOff>281368</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1233487" y="823912"/>
          <a:ext cx="8919756" cy="219456"/>
          <a:chOff x="1238250" y="823912"/>
          <a:chExt cx="9017174" cy="219456"/>
        </a:xfrm>
      </xdr:grpSpPr>
      <xdr:sp macro="" textlink="">
        <xdr:nvSpPr>
          <xdr:cNvPr id="26" name="TextBox 25">
            <a:hlinkClick xmlns:r="http://schemas.openxmlformats.org/officeDocument/2006/relationships" r:id="rId4"/>
            <a:extLst>
              <a:ext uri="{FF2B5EF4-FFF2-40B4-BE49-F238E27FC236}">
                <a16:creationId xmlns:a16="http://schemas.microsoft.com/office/drawing/2014/main" id="{00000000-0008-0000-0A00-00001A000000}"/>
              </a:ext>
            </a:extLst>
          </xdr:cNvPr>
          <xdr:cNvSpPr txBox="1"/>
        </xdr:nvSpPr>
        <xdr:spPr>
          <a:xfrm>
            <a:off x="2486793" y="823912"/>
            <a:ext cx="1135503"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Input</a:t>
            </a:r>
            <a:r>
              <a:rPr lang="en-GB" sz="1100" b="0" baseline="0">
                <a:solidFill>
                  <a:schemeClr val="accent1">
                    <a:lumMod val="40000"/>
                    <a:lumOff val="60000"/>
                  </a:schemeClr>
                </a:solidFill>
              </a:rPr>
              <a:t> Data</a:t>
            </a:r>
            <a:endParaRPr lang="en-GB" sz="1100" b="0">
              <a:solidFill>
                <a:schemeClr val="accent1">
                  <a:lumMod val="40000"/>
                  <a:lumOff val="60000"/>
                </a:schemeClr>
              </a:solidFill>
            </a:endParaRPr>
          </a:p>
        </xdr:txBody>
      </xdr:sp>
      <xdr:sp macro="" textlink="">
        <xdr:nvSpPr>
          <xdr:cNvPr id="27" name="TextBox 26">
            <a:hlinkClick xmlns:r="http://schemas.openxmlformats.org/officeDocument/2006/relationships" r:id="rId5"/>
            <a:extLst>
              <a:ext uri="{FF2B5EF4-FFF2-40B4-BE49-F238E27FC236}">
                <a16:creationId xmlns:a16="http://schemas.microsoft.com/office/drawing/2014/main" id="{00000000-0008-0000-0A00-00001B000000}"/>
              </a:ext>
            </a:extLst>
          </xdr:cNvPr>
          <xdr:cNvSpPr txBox="1"/>
        </xdr:nvSpPr>
        <xdr:spPr>
          <a:xfrm>
            <a:off x="3546788" y="823912"/>
            <a:ext cx="1174701"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Select Data</a:t>
            </a:r>
          </a:p>
        </xdr:txBody>
      </xdr:sp>
      <xdr:sp macro="" textlink="">
        <xdr:nvSpPr>
          <xdr:cNvPr id="28" name="TextBox 27">
            <a:hlinkClick xmlns:r="http://schemas.openxmlformats.org/officeDocument/2006/relationships" r:id="rId6"/>
            <a:extLst>
              <a:ext uri="{FF2B5EF4-FFF2-40B4-BE49-F238E27FC236}">
                <a16:creationId xmlns:a16="http://schemas.microsoft.com/office/drawing/2014/main" id="{00000000-0008-0000-0A00-00001C000000}"/>
              </a:ext>
            </a:extLst>
          </xdr:cNvPr>
          <xdr:cNvSpPr txBox="1"/>
        </xdr:nvSpPr>
        <xdr:spPr>
          <a:xfrm>
            <a:off x="1238250" y="823912"/>
            <a:ext cx="1323308"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Get Started</a:t>
            </a:r>
          </a:p>
        </xdr:txBody>
      </xdr:sp>
      <xdr:sp macro="" textlink="">
        <xdr:nvSpPr>
          <xdr:cNvPr id="29" name="TextBox 28">
            <a:hlinkClick xmlns:r="http://schemas.openxmlformats.org/officeDocument/2006/relationships" r:id="rId7"/>
            <a:extLst>
              <a:ext uri="{FF2B5EF4-FFF2-40B4-BE49-F238E27FC236}">
                <a16:creationId xmlns:a16="http://schemas.microsoft.com/office/drawing/2014/main" id="{00000000-0008-0000-0A00-00001D000000}"/>
              </a:ext>
            </a:extLst>
          </xdr:cNvPr>
          <xdr:cNvSpPr txBox="1"/>
        </xdr:nvSpPr>
        <xdr:spPr>
          <a:xfrm>
            <a:off x="4646281" y="823912"/>
            <a:ext cx="1933700"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Design &amp; Evaluate</a:t>
            </a:r>
          </a:p>
        </xdr:txBody>
      </xdr:sp>
      <xdr:sp macro="" textlink="">
        <xdr:nvSpPr>
          <xdr:cNvPr id="30" name="TextBox 29">
            <a:hlinkClick xmlns:r="http://schemas.openxmlformats.org/officeDocument/2006/relationships" r:id="rId8"/>
            <a:extLst>
              <a:ext uri="{FF2B5EF4-FFF2-40B4-BE49-F238E27FC236}">
                <a16:creationId xmlns:a16="http://schemas.microsoft.com/office/drawing/2014/main" id="{00000000-0008-0000-0A00-00001E000000}"/>
              </a:ext>
            </a:extLst>
          </xdr:cNvPr>
          <xdr:cNvSpPr txBox="1"/>
        </xdr:nvSpPr>
        <xdr:spPr>
          <a:xfrm>
            <a:off x="7656450" y="823912"/>
            <a:ext cx="1232021" cy="219456"/>
          </a:xfrm>
          <a:prstGeom prst="chevron">
            <a:avLst/>
          </a:prstGeom>
          <a:solidFill>
            <a:schemeClr val="tx2">
              <a:lumMod val="50000"/>
            </a:schemeClr>
          </a:solidFill>
          <a:ln w="9525" cmpd="sng">
            <a:noFill/>
          </a:ln>
          <a:effectLst>
            <a:outerShdw blurRad="127000" dist="63500" dir="2700000" algn="tl" rotWithShape="0">
              <a:schemeClr val="tx2">
                <a:lumMod val="50000"/>
                <a:alpha val="63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View Cases</a:t>
            </a:r>
          </a:p>
        </xdr:txBody>
      </xdr:sp>
      <xdr:sp macro="" textlink="">
        <xdr:nvSpPr>
          <xdr:cNvPr id="31" name="TextBox 30">
            <a:hlinkClick xmlns:r="http://schemas.openxmlformats.org/officeDocument/2006/relationships" r:id="rId9"/>
            <a:extLst>
              <a:ext uri="{FF2B5EF4-FFF2-40B4-BE49-F238E27FC236}">
                <a16:creationId xmlns:a16="http://schemas.microsoft.com/office/drawing/2014/main" id="{00000000-0008-0000-0A00-00001F000000}"/>
              </a:ext>
            </a:extLst>
          </xdr:cNvPr>
          <xdr:cNvSpPr txBox="1"/>
        </xdr:nvSpPr>
        <xdr:spPr>
          <a:xfrm>
            <a:off x="6502314" y="823912"/>
            <a:ext cx="1229452"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Models</a:t>
            </a:r>
          </a:p>
        </xdr:txBody>
      </xdr:sp>
      <xdr:sp macro="" textlink="">
        <xdr:nvSpPr>
          <xdr:cNvPr id="16" name="TextBox 15">
            <a:hlinkClick xmlns:r="http://schemas.openxmlformats.org/officeDocument/2006/relationships" r:id="rId10"/>
            <a:extLst>
              <a:ext uri="{FF2B5EF4-FFF2-40B4-BE49-F238E27FC236}">
                <a16:creationId xmlns:a16="http://schemas.microsoft.com/office/drawing/2014/main" id="{00000000-0008-0000-0A00-000010000000}"/>
              </a:ext>
            </a:extLst>
          </xdr:cNvPr>
          <xdr:cNvSpPr txBox="1"/>
        </xdr:nvSpPr>
        <xdr:spPr>
          <a:xfrm>
            <a:off x="8810625" y="823912"/>
            <a:ext cx="1444799"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tx2">
                    <a:lumMod val="20000"/>
                    <a:lumOff val="80000"/>
                  </a:schemeClr>
                </a:solidFill>
              </a:rPr>
              <a:t>Compare Models</a:t>
            </a:r>
          </a:p>
        </xdr:txBody>
      </xdr:sp>
    </xdr:grpSp>
    <xdr:clientData/>
  </xdr:twoCellAnchor>
  <xdr:twoCellAnchor editAs="absolute">
    <xdr:from>
      <xdr:col>6</xdr:col>
      <xdr:colOff>449263</xdr:colOff>
      <xdr:row>2</xdr:row>
      <xdr:rowOff>47625</xdr:rowOff>
    </xdr:from>
    <xdr:to>
      <xdr:col>23</xdr:col>
      <xdr:colOff>810680</xdr:colOff>
      <xdr:row>3</xdr:row>
      <xdr:rowOff>123825</xdr:rowOff>
    </xdr:to>
    <xdr:sp macro="" textlink="ModelName">
      <xdr:nvSpPr>
        <xdr:cNvPr id="3" name="TextBox 2">
          <a:extLst>
            <a:ext uri="{FF2B5EF4-FFF2-40B4-BE49-F238E27FC236}">
              <a16:creationId xmlns:a16="http://schemas.microsoft.com/office/drawing/2014/main" id="{00000000-0008-0000-0A00-000003000000}"/>
            </a:ext>
          </a:extLst>
        </xdr:cNvPr>
        <xdr:cNvSpPr txBox="1"/>
      </xdr:nvSpPr>
      <xdr:spPr>
        <a:xfrm>
          <a:off x="5191125" y="1123950"/>
          <a:ext cx="16758705"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D937141-46EE-451E-BE69-218A456FCC6D}" type="TxLink">
            <a:rPr lang="en-US" sz="1100" b="0" i="0" u="none" strike="noStrike">
              <a:solidFill>
                <a:srgbClr val="366092"/>
              </a:solidFill>
              <a:latin typeface="Calibri"/>
            </a:rPr>
            <a:pPr/>
            <a:t> </a:t>
          </a:fld>
          <a:endParaRPr lang="en-GB" sz="1100"/>
        </a:p>
      </xdr:txBody>
    </xdr:sp>
    <xdr:clientData/>
  </xdr:twoCellAnchor>
  <xdr:twoCellAnchor editAs="absolute">
    <xdr:from>
      <xdr:col>5</xdr:col>
      <xdr:colOff>679975</xdr:colOff>
      <xdr:row>2</xdr:row>
      <xdr:rowOff>66675</xdr:rowOff>
    </xdr:from>
    <xdr:to>
      <xdr:col>6</xdr:col>
      <xdr:colOff>279925</xdr:colOff>
      <xdr:row>3</xdr:row>
      <xdr:rowOff>142875</xdr:rowOff>
    </xdr:to>
    <xdr:sp macro="" textlink="">
      <xdr:nvSpPr>
        <xdr:cNvPr id="17" name="TextBox 16">
          <a:extLst>
            <a:ext uri="{FF2B5EF4-FFF2-40B4-BE49-F238E27FC236}">
              <a16:creationId xmlns:a16="http://schemas.microsoft.com/office/drawing/2014/main" id="{00000000-0008-0000-0A00-000011000000}"/>
            </a:ext>
          </a:extLst>
        </xdr:cNvPr>
        <xdr:cNvSpPr txBox="1"/>
      </xdr:nvSpPr>
      <xdr:spPr>
        <a:xfrm>
          <a:off x="4331225" y="1143000"/>
          <a:ext cx="690562" cy="266700"/>
        </a:xfrm>
        <a:prstGeom prst="rect">
          <a:avLst/>
        </a:prstGeom>
        <a:solidFill>
          <a:schemeClr val="lt1"/>
        </a:solidFill>
        <a:ln w="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0" i="0" u="none" strike="noStrike">
              <a:solidFill>
                <a:srgbClr val="366092"/>
              </a:solidFill>
              <a:latin typeface="Calibri"/>
            </a:rPr>
            <a:t> Model:</a:t>
          </a:r>
        </a:p>
      </xdr:txBody>
    </xdr:sp>
    <xdr:clientData/>
  </xdr:twoCellAnchor>
  <xdr:twoCellAnchor editAs="absolute">
    <xdr:from>
      <xdr:col>1</xdr:col>
      <xdr:colOff>139700</xdr:colOff>
      <xdr:row>2</xdr:row>
      <xdr:rowOff>52921</xdr:rowOff>
    </xdr:from>
    <xdr:to>
      <xdr:col>2</xdr:col>
      <xdr:colOff>276924</xdr:colOff>
      <xdr:row>3</xdr:row>
      <xdr:rowOff>91021</xdr:rowOff>
    </xdr:to>
    <xdr:grpSp>
      <xdr:nvGrpSpPr>
        <xdr:cNvPr id="5" name="Group 4">
          <a:extLst>
            <a:ext uri="{FF2B5EF4-FFF2-40B4-BE49-F238E27FC236}">
              <a16:creationId xmlns:a16="http://schemas.microsoft.com/office/drawing/2014/main" id="{00000000-0008-0000-0A00-000005000000}"/>
            </a:ext>
          </a:extLst>
        </xdr:cNvPr>
        <xdr:cNvGrpSpPr/>
      </xdr:nvGrpSpPr>
      <xdr:grpSpPr>
        <a:xfrm>
          <a:off x="730250" y="1129246"/>
          <a:ext cx="851599" cy="228600"/>
          <a:chOff x="733971" y="1129246"/>
          <a:chExt cx="892328" cy="228600"/>
        </a:xfrm>
      </xdr:grpSpPr>
      <xdr:sp macro="[0]!compareCases" textlink="">
        <xdr:nvSpPr>
          <xdr:cNvPr id="19" name="compareButton">
            <a:extLst>
              <a:ext uri="{FF2B5EF4-FFF2-40B4-BE49-F238E27FC236}">
                <a16:creationId xmlns:a16="http://schemas.microsoft.com/office/drawing/2014/main" id="{00000000-0008-0000-0A00-000013000000}"/>
              </a:ext>
            </a:extLst>
          </xdr:cNvPr>
          <xdr:cNvSpPr/>
        </xdr:nvSpPr>
        <xdr:spPr>
          <a:xfrm>
            <a:off x="733971" y="1129246"/>
            <a:ext cx="892328" cy="228600"/>
          </a:xfrm>
          <a:prstGeom prst="rect">
            <a:avLst/>
          </a:prstGeom>
          <a:solidFill>
            <a:schemeClr val="tx1">
              <a:lumMod val="50000"/>
              <a:lumOff val="50000"/>
            </a:schemeClr>
          </a:solidFill>
          <a:ln>
            <a:noFill/>
          </a:ln>
          <a:effectLst/>
          <a:extLst>
            <a:ext uri="{AF507438-7753-43E0-B8FC-AC1667EBCBE1}">
              <a14:hiddenEffects xmlns:a14="http://schemas.microsoft.com/office/drawing/2010/main">
                <a:effectLst>
                  <a:outerShdw blurRad="63500" dist="37357" dir="2700000" rotWithShape="0">
                    <a:prstClr val="black">
                      <a:alpha val="40000"/>
                    </a:prstClr>
                  </a:outerShdw>
                </a:effectLst>
              </a14:hiddenEffects>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0" baseline="0">
                <a:solidFill>
                  <a:schemeClr val="bg1"/>
                </a:solidFill>
              </a:rPr>
              <a:t>Compare</a:t>
            </a:r>
            <a:endParaRPr lang="en-GB" sz="1100" b="0">
              <a:solidFill>
                <a:schemeClr val="bg1"/>
              </a:solidFill>
            </a:endParaRPr>
          </a:p>
        </xdr:txBody>
      </xdr:sp>
      <xdr:pic macro="[0]!HelpCompareCases">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1420366" y="1165229"/>
            <a:ext cx="172790" cy="16835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581025</xdr:colOff>
      <xdr:row>2</xdr:row>
      <xdr:rowOff>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076325" cy="1076325"/>
        </a:xfrm>
        <a:prstGeom prst="rect">
          <a:avLst/>
        </a:prstGeom>
      </xdr:spPr>
    </xdr:pic>
    <xdr:clientData/>
  </xdr:twoCellAnchor>
  <xdr:twoCellAnchor editAs="absolute">
    <xdr:from>
      <xdr:col>1</xdr:col>
      <xdr:colOff>723900</xdr:colOff>
      <xdr:row>0</xdr:row>
      <xdr:rowOff>257175</xdr:rowOff>
    </xdr:from>
    <xdr:to>
      <xdr:col>4</xdr:col>
      <xdr:colOff>218281</xdr:colOff>
      <xdr:row>0</xdr:row>
      <xdr:rowOff>571500</xdr:rowOff>
    </xdr:to>
    <xdr:sp macro="" textlink="">
      <xdr:nvSpPr>
        <xdr:cNvPr id="3" name="Rectangle 2">
          <a:extLst>
            <a:ext uri="{FF2B5EF4-FFF2-40B4-BE49-F238E27FC236}">
              <a16:creationId xmlns:a16="http://schemas.microsoft.com/office/drawing/2014/main" id="{00000000-0008-0000-0B00-000003000000}"/>
            </a:ext>
          </a:extLst>
        </xdr:cNvPr>
        <xdr:cNvSpPr/>
      </xdr:nvSpPr>
      <xdr:spPr>
        <a:xfrm>
          <a:off x="1219994" y="257175"/>
          <a:ext cx="2431256" cy="314325"/>
        </a:xfrm>
        <a:prstGeom prst="rect">
          <a:avLst/>
        </a:prstGeom>
        <a:solidFill>
          <a:srgbClr val="4F81BD"/>
        </a:solidFill>
        <a:ln w="25400" cap="flat" cmpd="sng" algn="ctr">
          <a:no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GB" sz="2400" b="1" i="0" u="none" strike="noStrike" kern="0" cap="none" spc="0" normalizeH="0" baseline="0" noProof="0">
              <a:ln>
                <a:noFill/>
              </a:ln>
              <a:solidFill>
                <a:sysClr val="window" lastClr="FFFFFF"/>
              </a:solidFill>
              <a:effectLst/>
              <a:uLnTx/>
              <a:uFillTx/>
              <a:latin typeface="Calibri"/>
              <a:ea typeface="+mn-ea"/>
              <a:cs typeface="+mn-cs"/>
            </a:rPr>
            <a:t>Shared Coverage</a:t>
          </a:r>
        </a:p>
      </xdr:txBody>
    </xdr:sp>
    <xdr:clientData/>
  </xdr:twoCellAnchor>
  <xdr:twoCellAnchor>
    <xdr:from>
      <xdr:col>2</xdr:col>
      <xdr:colOff>0</xdr:colOff>
      <xdr:row>1</xdr:row>
      <xdr:rowOff>57151</xdr:rowOff>
    </xdr:from>
    <xdr:to>
      <xdr:col>7</xdr:col>
      <xdr:colOff>13288</xdr:colOff>
      <xdr:row>1</xdr:row>
      <xdr:rowOff>276226</xdr:rowOff>
    </xdr:to>
    <xdr:grpSp>
      <xdr:nvGrpSpPr>
        <xdr:cNvPr id="4" name="Group 3">
          <a:extLst>
            <a:ext uri="{FF2B5EF4-FFF2-40B4-BE49-F238E27FC236}">
              <a16:creationId xmlns:a16="http://schemas.microsoft.com/office/drawing/2014/main" id="{00000000-0008-0000-0B00-000004000000}"/>
            </a:ext>
          </a:extLst>
        </xdr:cNvPr>
        <xdr:cNvGrpSpPr/>
      </xdr:nvGrpSpPr>
      <xdr:grpSpPr>
        <a:xfrm>
          <a:off x="1228725" y="819151"/>
          <a:ext cx="5671138" cy="219075"/>
          <a:chOff x="1210102" y="819363"/>
          <a:chExt cx="7290597" cy="219076"/>
        </a:xfrm>
      </xdr:grpSpPr>
      <xdr:sp macro="" textlink="">
        <xdr:nvSpPr>
          <xdr:cNvPr id="5" name="TextBox 4">
            <a:hlinkClick xmlns:r="http://schemas.openxmlformats.org/officeDocument/2006/relationships" r:id="rId3"/>
            <a:extLst>
              <a:ext uri="{FF2B5EF4-FFF2-40B4-BE49-F238E27FC236}">
                <a16:creationId xmlns:a16="http://schemas.microsoft.com/office/drawing/2014/main" id="{00000000-0008-0000-0B00-000005000000}"/>
              </a:ext>
            </a:extLst>
          </xdr:cNvPr>
          <xdr:cNvSpPr txBox="1"/>
        </xdr:nvSpPr>
        <xdr:spPr>
          <a:xfrm>
            <a:off x="2382011" y="819363"/>
            <a:ext cx="1060037"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Input</a:t>
            </a:r>
            <a:r>
              <a:rPr lang="en-GB" sz="1100" b="0" baseline="0">
                <a:solidFill>
                  <a:schemeClr val="accent1">
                    <a:lumMod val="40000"/>
                    <a:lumOff val="60000"/>
                  </a:schemeClr>
                </a:solidFill>
              </a:rPr>
              <a:t> Data</a:t>
            </a:r>
            <a:endParaRPr lang="en-GB" sz="1100" b="0">
              <a:solidFill>
                <a:schemeClr val="accent1">
                  <a:lumMod val="40000"/>
                  <a:lumOff val="60000"/>
                </a:schemeClr>
              </a:solidFill>
            </a:endParaRPr>
          </a:p>
        </xdr:txBody>
      </xdr:sp>
      <xdr:sp macro="" textlink="">
        <xdr:nvSpPr>
          <xdr:cNvPr id="6" name="TextBox 5">
            <a:hlinkClick xmlns:r="http://schemas.openxmlformats.org/officeDocument/2006/relationships" r:id="rId4"/>
            <a:extLst>
              <a:ext uri="{FF2B5EF4-FFF2-40B4-BE49-F238E27FC236}">
                <a16:creationId xmlns:a16="http://schemas.microsoft.com/office/drawing/2014/main" id="{00000000-0008-0000-0B00-000006000000}"/>
              </a:ext>
            </a:extLst>
          </xdr:cNvPr>
          <xdr:cNvSpPr txBox="1"/>
        </xdr:nvSpPr>
        <xdr:spPr>
          <a:xfrm>
            <a:off x="3371558" y="819363"/>
            <a:ext cx="1096630"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Select Data</a:t>
            </a:r>
          </a:p>
        </xdr:txBody>
      </xdr:sp>
      <xdr:sp macro="" textlink="">
        <xdr:nvSpPr>
          <xdr:cNvPr id="7" name="TextBox 6">
            <a:hlinkClick xmlns:r="http://schemas.openxmlformats.org/officeDocument/2006/relationships" r:id="rId5"/>
            <a:extLst>
              <a:ext uri="{FF2B5EF4-FFF2-40B4-BE49-F238E27FC236}">
                <a16:creationId xmlns:a16="http://schemas.microsoft.com/office/drawing/2014/main" id="{00000000-0008-0000-0B00-000007000000}"/>
              </a:ext>
            </a:extLst>
          </xdr:cNvPr>
          <xdr:cNvSpPr txBox="1"/>
        </xdr:nvSpPr>
        <xdr:spPr>
          <a:xfrm>
            <a:off x="1210102" y="819363"/>
            <a:ext cx="1235361"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Get Started</a:t>
            </a:r>
          </a:p>
        </xdr:txBody>
      </xdr:sp>
      <xdr:sp macro="" textlink="">
        <xdr:nvSpPr>
          <xdr:cNvPr id="8" name="TextBox 7">
            <a:hlinkClick xmlns:r="http://schemas.openxmlformats.org/officeDocument/2006/relationships" r:id="rId6"/>
            <a:extLst>
              <a:ext uri="{FF2B5EF4-FFF2-40B4-BE49-F238E27FC236}">
                <a16:creationId xmlns:a16="http://schemas.microsoft.com/office/drawing/2014/main" id="{00000000-0008-0000-0B00-000008000000}"/>
              </a:ext>
            </a:extLst>
          </xdr:cNvPr>
          <xdr:cNvSpPr txBox="1"/>
        </xdr:nvSpPr>
        <xdr:spPr>
          <a:xfrm>
            <a:off x="4404322" y="819363"/>
            <a:ext cx="1805186"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Design &amp; Evaluate</a:t>
            </a:r>
          </a:p>
        </xdr:txBody>
      </xdr:sp>
      <xdr:sp macro="" textlink="">
        <xdr:nvSpPr>
          <xdr:cNvPr id="9" name="TextBox 8">
            <a:hlinkClick xmlns:r="http://schemas.openxmlformats.org/officeDocument/2006/relationships" r:id="rId7"/>
            <a:extLst>
              <a:ext uri="{FF2B5EF4-FFF2-40B4-BE49-F238E27FC236}">
                <a16:creationId xmlns:a16="http://schemas.microsoft.com/office/drawing/2014/main" id="{00000000-0008-0000-0B00-000009000000}"/>
              </a:ext>
            </a:extLst>
          </xdr:cNvPr>
          <xdr:cNvSpPr txBox="1"/>
        </xdr:nvSpPr>
        <xdr:spPr>
          <a:xfrm>
            <a:off x="7350558" y="819363"/>
            <a:ext cx="1150141"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View Cases</a:t>
            </a:r>
          </a:p>
        </xdr:txBody>
      </xdr:sp>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6149657" y="819363"/>
            <a:ext cx="1262516" cy="21907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View Models</a:t>
            </a:r>
          </a:p>
        </xdr:txBody>
      </xdr:sp>
    </xdr:grpSp>
    <xdr:clientData/>
  </xdr:twoCellAnchor>
  <xdr:twoCellAnchor editAs="oneCell">
    <xdr:from>
      <xdr:col>3</xdr:col>
      <xdr:colOff>943371</xdr:colOff>
      <xdr:row>0</xdr:row>
      <xdr:rowOff>332978</xdr:rowOff>
    </xdr:from>
    <xdr:to>
      <xdr:col>4</xdr:col>
      <xdr:colOff>181022</xdr:colOff>
      <xdr:row>0</xdr:row>
      <xdr:rowOff>501328</xdr:rowOff>
    </xdr:to>
    <xdr:pic macro="[0]!HelpSharedCoverage">
      <xdr:nvPicPr>
        <xdr:cNvPr id="11" name="Picture 1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8" cstate="print">
          <a:lum bright="71000" contrast="100000"/>
          <a:extLst>
            <a:ext uri="{28A0092B-C50C-407E-A947-70E740481C1C}">
              <a14:useLocalDpi xmlns:a14="http://schemas.microsoft.com/office/drawing/2010/main" val="0"/>
            </a:ext>
          </a:extLst>
        </a:blip>
        <a:stretch>
          <a:fillRect/>
        </a:stretch>
      </xdr:blipFill>
      <xdr:spPr>
        <a:xfrm>
          <a:off x="3622277" y="332978"/>
          <a:ext cx="182214" cy="168350"/>
        </a:xfrm>
        <a:prstGeom prst="rect">
          <a:avLst/>
        </a:prstGeom>
      </xdr:spPr>
    </xdr:pic>
    <xdr:clientData/>
  </xdr:twoCellAnchor>
  <xdr:twoCellAnchor>
    <xdr:from>
      <xdr:col>2</xdr:col>
      <xdr:colOff>0</xdr:colOff>
      <xdr:row>1</xdr:row>
      <xdr:rowOff>47229</xdr:rowOff>
    </xdr:from>
    <xdr:to>
      <xdr:col>3</xdr:col>
      <xdr:colOff>43614</xdr:colOff>
      <xdr:row>1</xdr:row>
      <xdr:rowOff>266304</xdr:rowOff>
    </xdr:to>
    <xdr:sp macro="" textlink="">
      <xdr:nvSpPr>
        <xdr:cNvPr id="14" name="TextBox 13">
          <a:hlinkClick xmlns:r="http://schemas.openxmlformats.org/officeDocument/2006/relationships" r:id="rId7"/>
          <a:extLst>
            <a:ext uri="{FF2B5EF4-FFF2-40B4-BE49-F238E27FC236}">
              <a16:creationId xmlns:a16="http://schemas.microsoft.com/office/drawing/2014/main" id="{00000000-0008-0000-0B00-00000E000000}"/>
            </a:ext>
          </a:extLst>
        </xdr:cNvPr>
        <xdr:cNvSpPr txBox="1"/>
      </xdr:nvSpPr>
      <xdr:spPr>
        <a:xfrm>
          <a:off x="1230313" y="811213"/>
          <a:ext cx="1492207" cy="219075"/>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View Cases</a:t>
          </a:r>
        </a:p>
      </xdr:txBody>
    </xdr:sp>
    <xdr:clientData/>
  </xdr:twoCellAnchor>
  <xdr:twoCellAnchor>
    <xdr:from>
      <xdr:col>6</xdr:col>
      <xdr:colOff>1104899</xdr:colOff>
      <xdr:row>1</xdr:row>
      <xdr:rowOff>60723</xdr:rowOff>
    </xdr:from>
    <xdr:to>
      <xdr:col>7</xdr:col>
      <xdr:colOff>1436246</xdr:colOff>
      <xdr:row>1</xdr:row>
      <xdr:rowOff>279798</xdr:rowOff>
    </xdr:to>
    <xdr:sp macro="" textlink="">
      <xdr:nvSpPr>
        <xdr:cNvPr id="16" name="TextBox 15">
          <a:hlinkClick xmlns:r="http://schemas.openxmlformats.org/officeDocument/2006/relationships" r:id="rId9"/>
          <a:extLst>
            <a:ext uri="{FF2B5EF4-FFF2-40B4-BE49-F238E27FC236}">
              <a16:creationId xmlns:a16="http://schemas.microsoft.com/office/drawing/2014/main" id="{00000000-0008-0000-0B00-000010000000}"/>
            </a:ext>
          </a:extLst>
        </xdr:cNvPr>
        <xdr:cNvSpPr txBox="1"/>
      </xdr:nvSpPr>
      <xdr:spPr>
        <a:xfrm>
          <a:off x="10619977" y="824707"/>
          <a:ext cx="1492207" cy="219075"/>
        </a:xfrm>
        <a:prstGeom prst="chevron">
          <a:avLst/>
        </a:prstGeom>
        <a:solidFill>
          <a:schemeClr val="tx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Shared Coverage</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466725</xdr:colOff>
      <xdr:row>2</xdr:row>
      <xdr:rowOff>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057275" cy="1076325"/>
        </a:xfrm>
        <a:prstGeom prst="rect">
          <a:avLst/>
        </a:prstGeom>
      </xdr:spPr>
    </xdr:pic>
    <xdr:clientData/>
  </xdr:twoCellAnchor>
  <xdr:twoCellAnchor editAs="absolute">
    <xdr:from>
      <xdr:col>1</xdr:col>
      <xdr:colOff>619125</xdr:colOff>
      <xdr:row>0</xdr:row>
      <xdr:rowOff>247650</xdr:rowOff>
    </xdr:from>
    <xdr:to>
      <xdr:col>6</xdr:col>
      <xdr:colOff>57370</xdr:colOff>
      <xdr:row>0</xdr:row>
      <xdr:rowOff>561975</xdr:rowOff>
    </xdr:to>
    <xdr:sp macro="" textlink="">
      <xdr:nvSpPr>
        <xdr:cNvPr id="3" name="Rectangle 2">
          <a:extLst>
            <a:ext uri="{FF2B5EF4-FFF2-40B4-BE49-F238E27FC236}">
              <a16:creationId xmlns:a16="http://schemas.microsoft.com/office/drawing/2014/main" id="{00000000-0008-0000-0C00-000003000000}"/>
            </a:ext>
          </a:extLst>
        </xdr:cNvPr>
        <xdr:cNvSpPr/>
      </xdr:nvSpPr>
      <xdr:spPr>
        <a:xfrm>
          <a:off x="1209675" y="247650"/>
          <a:ext cx="4403347" cy="314325"/>
        </a:xfrm>
        <a:prstGeom prst="rect">
          <a:avLst/>
        </a:prstGeom>
        <a:solidFill>
          <a:srgbClr val="4F81BD"/>
        </a:solidFill>
        <a:ln w="25400" cap="flat" cmpd="sng" algn="ctr">
          <a:no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GB" sz="2400" b="1" i="0" u="none" strike="noStrike" kern="0" cap="none" spc="0" normalizeH="0" baseline="0" noProof="0">
              <a:ln>
                <a:noFill/>
              </a:ln>
              <a:solidFill>
                <a:sysClr val="window" lastClr="FFFFFF"/>
              </a:solidFill>
              <a:effectLst/>
              <a:uLnTx/>
              <a:uFillTx/>
              <a:latin typeface="Calibri"/>
              <a:ea typeface="+mn-ea"/>
              <a:cs typeface="+mn-cs"/>
            </a:rPr>
            <a:t>Compare Models</a:t>
          </a:r>
          <a:endParaRPr kumimoji="0" lang="en-GB" sz="2400" b="1" i="0" u="sng"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editAs="absolute">
    <xdr:from>
      <xdr:col>4</xdr:col>
      <xdr:colOff>29145</xdr:colOff>
      <xdr:row>0</xdr:row>
      <xdr:rowOff>332978</xdr:rowOff>
    </xdr:from>
    <xdr:to>
      <xdr:col>4</xdr:col>
      <xdr:colOff>211359</xdr:colOff>
      <xdr:row>0</xdr:row>
      <xdr:rowOff>501328</xdr:rowOff>
    </xdr:to>
    <xdr:pic macro="[0]!HelpCasesXModels">
      <xdr:nvPicPr>
        <xdr:cNvPr id="11" name="Picture 10">
          <a:extLst>
            <a:ext uri="{FF2B5EF4-FFF2-40B4-BE49-F238E27FC236}">
              <a16:creationId xmlns:a16="http://schemas.microsoft.com/office/drawing/2014/main" id="{00000000-0008-0000-0C00-00000B000000}"/>
            </a:ext>
          </a:extLst>
        </xdr:cNvPr>
        <xdr:cNvPicPr>
          <a:picLocks noChangeAspect="1"/>
        </xdr:cNvPicPr>
      </xdr:nvPicPr>
      <xdr:blipFill>
        <a:blip xmlns:r="http://schemas.openxmlformats.org/officeDocument/2006/relationships" r:embed="rId3" cstate="print">
          <a:lum bright="71000" contrast="100000"/>
          <a:extLst>
            <a:ext uri="{28A0092B-C50C-407E-A947-70E740481C1C}">
              <a14:useLocalDpi xmlns:a14="http://schemas.microsoft.com/office/drawing/2010/main" val="0"/>
            </a:ext>
          </a:extLst>
        </a:blip>
        <a:stretch>
          <a:fillRect/>
        </a:stretch>
      </xdr:blipFill>
      <xdr:spPr>
        <a:xfrm>
          <a:off x="3633708" y="332978"/>
          <a:ext cx="182214" cy="168350"/>
        </a:xfrm>
        <a:prstGeom prst="rect">
          <a:avLst/>
        </a:prstGeom>
        <a:effectLst>
          <a:outerShdw blurRad="50800" dist="38100" dir="2700000" algn="tl" rotWithShape="0">
            <a:schemeClr val="accent1">
              <a:lumMod val="50000"/>
              <a:alpha val="40000"/>
            </a:schemeClr>
          </a:outerShdw>
        </a:effectLst>
      </xdr:spPr>
    </xdr:pic>
    <xdr:clientData/>
  </xdr:twoCellAnchor>
  <xdr:twoCellAnchor editAs="absolute">
    <xdr:from>
      <xdr:col>1</xdr:col>
      <xdr:colOff>647700</xdr:colOff>
      <xdr:row>1</xdr:row>
      <xdr:rowOff>47122</xdr:rowOff>
    </xdr:from>
    <xdr:to>
      <xdr:col>9</xdr:col>
      <xdr:colOff>1350532</xdr:colOff>
      <xdr:row>1</xdr:row>
      <xdr:rowOff>276606</xdr:rowOff>
    </xdr:to>
    <xdr:grpSp>
      <xdr:nvGrpSpPr>
        <xdr:cNvPr id="16" name="Group 15">
          <a:extLst>
            <a:ext uri="{FF2B5EF4-FFF2-40B4-BE49-F238E27FC236}">
              <a16:creationId xmlns:a16="http://schemas.microsoft.com/office/drawing/2014/main" id="{00000000-0008-0000-0C00-000010000000}"/>
            </a:ext>
          </a:extLst>
        </xdr:cNvPr>
        <xdr:cNvGrpSpPr/>
      </xdr:nvGrpSpPr>
      <xdr:grpSpPr>
        <a:xfrm>
          <a:off x="1231490" y="815267"/>
          <a:ext cx="9014163" cy="229484"/>
          <a:chOff x="1243013" y="811106"/>
          <a:chExt cx="9009887" cy="229484"/>
        </a:xfrm>
      </xdr:grpSpPr>
      <xdr:sp macro="" textlink="">
        <xdr:nvSpPr>
          <xdr:cNvPr id="5" name="TextBox 4">
            <a:hlinkClick xmlns:r="http://schemas.openxmlformats.org/officeDocument/2006/relationships" r:id="rId4"/>
            <a:extLst>
              <a:ext uri="{FF2B5EF4-FFF2-40B4-BE49-F238E27FC236}">
                <a16:creationId xmlns:a16="http://schemas.microsoft.com/office/drawing/2014/main" id="{00000000-0008-0000-0C00-000005000000}"/>
              </a:ext>
            </a:extLst>
          </xdr:cNvPr>
          <xdr:cNvSpPr txBox="1"/>
        </xdr:nvSpPr>
        <xdr:spPr>
          <a:xfrm>
            <a:off x="2491159" y="821134"/>
            <a:ext cx="1136296"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Input</a:t>
            </a:r>
            <a:r>
              <a:rPr lang="en-GB" sz="1100" b="0" baseline="0">
                <a:solidFill>
                  <a:schemeClr val="accent1">
                    <a:lumMod val="40000"/>
                    <a:lumOff val="60000"/>
                  </a:schemeClr>
                </a:solidFill>
              </a:rPr>
              <a:t> Data</a:t>
            </a:r>
            <a:endParaRPr lang="en-GB" sz="1100" b="0">
              <a:solidFill>
                <a:schemeClr val="accent1">
                  <a:lumMod val="40000"/>
                  <a:lumOff val="60000"/>
                </a:schemeClr>
              </a:solidFill>
            </a:endParaRPr>
          </a:p>
        </xdr:txBody>
      </xdr:sp>
      <xdr:sp macro="" textlink="">
        <xdr:nvSpPr>
          <xdr:cNvPr id="6" name="TextBox 5">
            <a:hlinkClick xmlns:r="http://schemas.openxmlformats.org/officeDocument/2006/relationships" r:id="rId5"/>
            <a:extLst>
              <a:ext uri="{FF2B5EF4-FFF2-40B4-BE49-F238E27FC236}">
                <a16:creationId xmlns:a16="http://schemas.microsoft.com/office/drawing/2014/main" id="{00000000-0008-0000-0C00-000006000000}"/>
              </a:ext>
            </a:extLst>
          </xdr:cNvPr>
          <xdr:cNvSpPr txBox="1"/>
        </xdr:nvSpPr>
        <xdr:spPr>
          <a:xfrm>
            <a:off x="3551947" y="821134"/>
            <a:ext cx="1177083"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Select Data</a:t>
            </a:r>
          </a:p>
        </xdr:txBody>
      </xdr:sp>
      <xdr:sp macro="" textlink="">
        <xdr:nvSpPr>
          <xdr:cNvPr id="7" name="TextBox 6">
            <a:hlinkClick xmlns:r="http://schemas.openxmlformats.org/officeDocument/2006/relationships" r:id="rId6"/>
            <a:extLst>
              <a:ext uri="{FF2B5EF4-FFF2-40B4-BE49-F238E27FC236}">
                <a16:creationId xmlns:a16="http://schemas.microsoft.com/office/drawing/2014/main" id="{00000000-0008-0000-0C00-000007000000}"/>
              </a:ext>
            </a:extLst>
          </xdr:cNvPr>
          <xdr:cNvSpPr txBox="1"/>
        </xdr:nvSpPr>
        <xdr:spPr>
          <a:xfrm>
            <a:off x="1243013" y="821134"/>
            <a:ext cx="1322911"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Get Started</a:t>
            </a:r>
          </a:p>
        </xdr:txBody>
      </xdr:sp>
      <xdr:sp macro="" textlink="">
        <xdr:nvSpPr>
          <xdr:cNvPr id="8" name="TextBox 7">
            <a:hlinkClick xmlns:r="http://schemas.openxmlformats.org/officeDocument/2006/relationships" r:id="rId7"/>
            <a:extLst>
              <a:ext uri="{FF2B5EF4-FFF2-40B4-BE49-F238E27FC236}">
                <a16:creationId xmlns:a16="http://schemas.microsoft.com/office/drawing/2014/main" id="{00000000-0008-0000-0C00-000008000000}"/>
              </a:ext>
            </a:extLst>
          </xdr:cNvPr>
          <xdr:cNvSpPr txBox="1"/>
        </xdr:nvSpPr>
        <xdr:spPr>
          <a:xfrm>
            <a:off x="4653822" y="821134"/>
            <a:ext cx="1928540"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accent1">
                    <a:lumMod val="40000"/>
                    <a:lumOff val="60000"/>
                  </a:schemeClr>
                </a:solidFill>
              </a:rPr>
              <a:t>Design &amp; Evaluate</a:t>
            </a:r>
          </a:p>
        </xdr:txBody>
      </xdr:sp>
      <xdr:sp macro="" textlink="">
        <xdr:nvSpPr>
          <xdr:cNvPr id="9" name="TextBox 8">
            <a:hlinkClick xmlns:r="http://schemas.openxmlformats.org/officeDocument/2006/relationships" r:id="rId8"/>
            <a:extLst>
              <a:ext uri="{FF2B5EF4-FFF2-40B4-BE49-F238E27FC236}">
                <a16:creationId xmlns:a16="http://schemas.microsoft.com/office/drawing/2014/main" id="{00000000-0008-0000-0C00-000009000000}"/>
              </a:ext>
            </a:extLst>
          </xdr:cNvPr>
          <xdr:cNvSpPr txBox="1"/>
        </xdr:nvSpPr>
        <xdr:spPr>
          <a:xfrm>
            <a:off x="7662006" y="821134"/>
            <a:ext cx="1228053"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chemeClr val="tx2">
                    <a:lumMod val="20000"/>
                    <a:lumOff val="80000"/>
                  </a:schemeClr>
                </a:solidFill>
              </a:rPr>
              <a:t>View</a:t>
            </a:r>
            <a:r>
              <a:rPr lang="en-GB" sz="1100" b="1">
                <a:solidFill>
                  <a:schemeClr val="tx2">
                    <a:lumMod val="20000"/>
                    <a:lumOff val="80000"/>
                  </a:schemeClr>
                </a:solidFill>
              </a:rPr>
              <a:t> </a:t>
            </a:r>
            <a:r>
              <a:rPr lang="en-GB" sz="1100" b="0">
                <a:solidFill>
                  <a:schemeClr val="tx2">
                    <a:lumMod val="20000"/>
                    <a:lumOff val="80000"/>
                  </a:schemeClr>
                </a:solidFill>
              </a:rPr>
              <a:t>Cases</a:t>
            </a:r>
          </a:p>
        </xdr:txBody>
      </xdr:sp>
      <xdr:sp macro="" textlink="">
        <xdr:nvSpPr>
          <xdr:cNvPr id="10" name="TextBox 9">
            <a:hlinkClick xmlns:r="http://schemas.openxmlformats.org/officeDocument/2006/relationships" r:id="rId9"/>
            <a:extLst>
              <a:ext uri="{FF2B5EF4-FFF2-40B4-BE49-F238E27FC236}">
                <a16:creationId xmlns:a16="http://schemas.microsoft.com/office/drawing/2014/main" id="{00000000-0008-0000-0C00-00000A000000}"/>
              </a:ext>
            </a:extLst>
          </xdr:cNvPr>
          <xdr:cNvSpPr txBox="1"/>
        </xdr:nvSpPr>
        <xdr:spPr>
          <a:xfrm>
            <a:off x="6504695" y="821134"/>
            <a:ext cx="1232627" cy="219456"/>
          </a:xfrm>
          <a:prstGeom prst="chevron">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accent1">
                    <a:lumMod val="40000"/>
                    <a:lumOff val="60000"/>
                  </a:schemeClr>
                </a:solidFill>
              </a:rPr>
              <a:t>View Models</a:t>
            </a:r>
          </a:p>
        </xdr:txBody>
      </xdr:sp>
      <xdr:sp macro="" textlink="">
        <xdr:nvSpPr>
          <xdr:cNvPr id="14" name="TextBox 13">
            <a:hlinkClick xmlns:r="http://schemas.openxmlformats.org/officeDocument/2006/relationships" r:id="rId10"/>
            <a:extLst>
              <a:ext uri="{FF2B5EF4-FFF2-40B4-BE49-F238E27FC236}">
                <a16:creationId xmlns:a16="http://schemas.microsoft.com/office/drawing/2014/main" id="{00000000-0008-0000-0C00-00000E000000}"/>
              </a:ext>
            </a:extLst>
          </xdr:cNvPr>
          <xdr:cNvSpPr txBox="1"/>
        </xdr:nvSpPr>
        <xdr:spPr>
          <a:xfrm>
            <a:off x="8814711" y="811106"/>
            <a:ext cx="1438189" cy="219456"/>
          </a:xfrm>
          <a:prstGeom prst="chevron">
            <a:avLst/>
          </a:prstGeom>
          <a:solidFill>
            <a:schemeClr val="tx2">
              <a:lumMod val="50000"/>
            </a:schemeClr>
          </a:solidFill>
          <a:ln w="9525" cmpd="sng">
            <a:noFill/>
          </a:ln>
          <a:effectLst>
            <a:outerShdw blurRad="127000" dist="63500" dir="2700000" algn="tl" rotWithShape="0">
              <a:schemeClr val="tx2">
                <a:lumMod val="50000"/>
                <a:alpha val="63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Compare Models</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361950</xdr:colOff>
      <xdr:row>16</xdr:row>
      <xdr:rowOff>171450</xdr:rowOff>
    </xdr:from>
    <xdr:to>
      <xdr:col>2</xdr:col>
      <xdr:colOff>533400</xdr:colOff>
      <xdr:row>19</xdr:row>
      <xdr:rowOff>38100</xdr:rowOff>
    </xdr:to>
    <xdr:sp macro="" textlink="">
      <xdr:nvSpPr>
        <xdr:cNvPr id="2" name="Right Brace 1">
          <a:extLst>
            <a:ext uri="{FF2B5EF4-FFF2-40B4-BE49-F238E27FC236}">
              <a16:creationId xmlns:a16="http://schemas.microsoft.com/office/drawing/2014/main" id="{00000000-0008-0000-0F00-000002000000}"/>
            </a:ext>
          </a:extLst>
        </xdr:cNvPr>
        <xdr:cNvSpPr/>
      </xdr:nvSpPr>
      <xdr:spPr>
        <a:xfrm>
          <a:off x="3238500" y="2838450"/>
          <a:ext cx="171450" cy="43815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xdr:from>
      <xdr:col>2</xdr:col>
      <xdr:colOff>619125</xdr:colOff>
      <xdr:row>16</xdr:row>
      <xdr:rowOff>142875</xdr:rowOff>
    </xdr:from>
    <xdr:to>
      <xdr:col>8</xdr:col>
      <xdr:colOff>447675</xdr:colOff>
      <xdr:row>19</xdr:row>
      <xdr:rowOff>57150</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3495675" y="2809875"/>
          <a:ext cx="3962400"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Range "SearchOptions" defined here is used as the values</a:t>
          </a:r>
          <a:r>
            <a:rPr lang="en-GB" sz="1100" baseline="0"/>
            <a:t> to test in Exhaustive Search 2</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485775</xdr:colOff>
      <xdr:row>1</xdr:row>
      <xdr:rowOff>314325</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76325" cy="1076325"/>
        </a:xfrm>
        <a:prstGeom prst="rect">
          <a:avLst/>
        </a:prstGeom>
      </xdr:spPr>
    </xdr:pic>
    <xdr:clientData/>
  </xdr:twoCellAnchor>
  <xdr:twoCellAnchor editAs="oneCell">
    <xdr:from>
      <xdr:col>3</xdr:col>
      <xdr:colOff>0</xdr:colOff>
      <xdr:row>0</xdr:row>
      <xdr:rowOff>342900</xdr:rowOff>
    </xdr:from>
    <xdr:to>
      <xdr:col>3</xdr:col>
      <xdr:colOff>1239</xdr:colOff>
      <xdr:row>1</xdr:row>
      <xdr:rowOff>3100</xdr:rowOff>
    </xdr:to>
    <xdr:pic>
      <xdr:nvPicPr>
        <xdr:cNvPr id="10" name="Picture 9">
          <a:extLst>
            <a:ext uri="{FF2B5EF4-FFF2-40B4-BE49-F238E27FC236}">
              <a16:creationId xmlns:a16="http://schemas.microsoft.com/office/drawing/2014/main" id="{00000000-0008-0000-1200-00000A000000}"/>
            </a:ext>
          </a:extLst>
        </xdr:cNvPr>
        <xdr:cNvPicPr>
          <a:picLocks noChangeAspect="1"/>
        </xdr:cNvPicPr>
      </xdr:nvPicPr>
      <xdr:blipFill>
        <a:blip xmlns:r="http://schemas.openxmlformats.org/officeDocument/2006/relationships" r:embed="rId2" cstate="print">
          <a:lum bright="71000" contrast="100000"/>
          <a:extLst>
            <a:ext uri="{28A0092B-C50C-407E-A947-70E740481C1C}">
              <a14:useLocalDpi xmlns:a14="http://schemas.microsoft.com/office/drawing/2010/main" val="0"/>
            </a:ext>
          </a:extLst>
        </a:blip>
        <a:stretch>
          <a:fillRect/>
        </a:stretch>
      </xdr:blipFill>
      <xdr:spPr>
        <a:xfrm>
          <a:off x="3048000" y="342900"/>
          <a:ext cx="182214" cy="168350"/>
        </a:xfrm>
        <a:prstGeom prst="rect">
          <a:avLst/>
        </a:prstGeom>
      </xdr:spPr>
    </xdr:pic>
    <xdr:clientData/>
  </xdr:twoCellAnchor>
  <xdr:twoCellAnchor editAs="absolute">
    <xdr:from>
      <xdr:col>1</xdr:col>
      <xdr:colOff>542925</xdr:colOff>
      <xdr:row>0</xdr:row>
      <xdr:rowOff>266700</xdr:rowOff>
    </xdr:from>
    <xdr:to>
      <xdr:col>2</xdr:col>
      <xdr:colOff>1428751</xdr:colOff>
      <xdr:row>0</xdr:row>
      <xdr:rowOff>581025</xdr:rowOff>
    </xdr:to>
    <xdr:sp macro="" textlink="">
      <xdr:nvSpPr>
        <xdr:cNvPr id="13" name="Rectangle 12">
          <a:extLst>
            <a:ext uri="{FF2B5EF4-FFF2-40B4-BE49-F238E27FC236}">
              <a16:creationId xmlns:a16="http://schemas.microsoft.com/office/drawing/2014/main" id="{00000000-0008-0000-1200-00000D000000}"/>
            </a:ext>
          </a:extLst>
        </xdr:cNvPr>
        <xdr:cNvSpPr/>
      </xdr:nvSpPr>
      <xdr:spPr>
        <a:xfrm>
          <a:off x="1152525" y="266700"/>
          <a:ext cx="2028826" cy="314325"/>
        </a:xfrm>
        <a:prstGeom prst="rect">
          <a:avLst/>
        </a:prstGeom>
        <a:solidFill>
          <a:srgbClr val="4F81BD"/>
        </a:solidFill>
        <a:ln w="25400" cap="flat" cmpd="sng" algn="ctr">
          <a:noFill/>
          <a:prstDash val="solid"/>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GB" sz="2400" b="1" i="0" u="none" strike="noStrike" kern="0" cap="none" spc="0" normalizeH="0" baseline="0" noProof="0">
              <a:ln>
                <a:noFill/>
              </a:ln>
              <a:solidFill>
                <a:sysClr val="window" lastClr="FFFFFF"/>
              </a:solidFill>
              <a:effectLst/>
              <a:uLnTx/>
              <a:uFillTx/>
              <a:latin typeface="Calibri"/>
              <a:ea typeface="+mn-ea"/>
              <a:cs typeface="+mn-cs"/>
            </a:rPr>
            <a:t>Reference</a:t>
          </a:r>
          <a:endParaRPr kumimoji="0" lang="en-GB" sz="2400" b="1" i="0" u="sng"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447675</xdr:colOff>
      <xdr:row>5</xdr:row>
      <xdr:rowOff>104775</xdr:rowOff>
    </xdr:to>
    <xdr:pic>
      <xdr:nvPicPr>
        <xdr:cNvPr id="2" name="Picture 1">
          <a:hlinkClick xmlns:r="http://schemas.openxmlformats.org/officeDocument/2006/relationships" r:id="rId1"/>
          <a:extLst>
            <a:ext uri="{FF2B5EF4-FFF2-40B4-BE49-F238E27FC236}">
              <a16:creationId xmlns:a16="http://schemas.microsoft.com/office/drawing/2014/main" id="{DB172B1D-FBE3-4B6A-85E8-907CFBBF2D5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1057275" cy="10763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fromRick/2016%2007%2023%20Attribute%20set%20optimis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et &amp; workings"/>
      <sheetName val="Notes"/>
      <sheetName val="Sheet1"/>
    </sheetNames>
    <sheetDataSet>
      <sheetData sheetId="0">
        <row r="2">
          <cell r="AO2">
            <v>30</v>
          </cell>
        </row>
      </sheetData>
      <sheetData sheetId="1"/>
      <sheetData sheetId="2">
        <row r="27">
          <cell r="I27">
            <v>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0000000}" name="model" displayName="model" ref="B11:C12" insertRow="1" headerRowDxfId="11" dataDxfId="9" totalsRowDxfId="10" tableBorderDxfId="53">
  <tableColumns count="2">
    <tableColumn id="1" xr3:uid="{00000000-0010-0000-0000-000001000000}" name="Attribute" dataDxfId="1"/>
    <tableColumn id="2" xr3:uid="{00000000-0010-0000-0000-000002000000}" name="Status" dataDxfId="0"/>
  </tableColumns>
  <tableStyleInfo name="TableStyleMedium2" showFirstColumn="0" showLastColumn="0" showRowStripes="0"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4A830D6-2CF7-4315-9B89-F4766009F161}" name="Table10" displayName="Table10" ref="A1:U2" insertRow="1" totalsRowShown="0" headerRowDxfId="29" dataDxfId="28" headerRowBorderDxfId="52" tableBorderDxfId="51">
  <autoFilter ref="A1:U2" xr:uid="{778C1A93-4BCF-4A5A-9CC4-A2BED128FEA6}"/>
  <tableColumns count="21">
    <tableColumn id="1" xr3:uid="{A6DEFB54-2B16-4EA6-ACBA-D29E425AF558}" name="Name" dataDxfId="50"/>
    <tableColumn id="2" xr3:uid="{F556A5D4-1F7C-427D-BF7D-132277788FD3}" name="Timestamp" dataDxfId="49"/>
    <tableColumn id="3" xr3:uid="{8A62248A-0722-428F-A3AF-F35D53441F5B}" name="Type" dataDxfId="48"/>
    <tableColumn id="4" xr3:uid="{54273341-439F-4523-B968-450999CC211C}" name="Objective" dataDxfId="47"/>
    <tableColumn id="5" xr3:uid="{EF66B405-1962-4CE7-A32E-C7E903B7ABE9}" name="Target outcome" dataDxfId="46"/>
    <tableColumn id="6" xr3:uid="{727187F5-1DC3-44A3-B550-FA5C29E06523}" name="Accuracy" dataDxfId="45"/>
    <tableColumn id="7" xr3:uid="{18F19FE7-72FF-4B8A-B7EC-0BE1E951272E}" name="Balanced_Accuracy" dataDxfId="44"/>
    <tableColumn id="8" xr3:uid="{E631F4C2-E338-4C46-AADC-868F780507A3}" name="F_Score" dataDxfId="43"/>
    <tableColumn id="9" xr3:uid="{7715CBB6-BA65-4F97-AA99-F9599527696F}" name="MCC" dataDxfId="42"/>
    <tableColumn id="10" xr3:uid="{A0693FE6-3659-4BC4-AB05-36D8DBE2ACAA}" name="Gini_Index" dataDxfId="41"/>
    <tableColumn id="11" xr3:uid="{14D8A714-B8A5-4401-B8D0-05D5077F30C0}" name="Coverage" dataDxfId="40"/>
    <tableColumn id="12" xr3:uid="{0D1E31DB-0136-4E70-909F-FB727F5AFC41}" name="Consistency" dataDxfId="39"/>
    <tableColumn id="13" xr3:uid="{C1D4D8E5-0BC5-478D-8C92-E9AA7CA8731F}" name="Lift" dataDxfId="38"/>
    <tableColumn id="14" xr3:uid="{6A704E50-C01E-4E32-8FC6-559EFE7C4BD3}" name="Null_Error_Rate" dataDxfId="37"/>
    <tableColumn id="15" xr3:uid="{01F81010-30BC-49EC-995B-2547AB216D0A}" name="Likelihood_Ratio" dataDxfId="36"/>
    <tableColumn id="16" xr3:uid="{DAF00CBC-6849-4829-962B-A6F0A3B05F11}" name="User_Defined" dataDxfId="35"/>
    <tableColumn id="17" xr3:uid="{2B5D3F4B-618E-44B0-8F3F-AE4D7F657790}" name="Electoral system" dataDxfId="34"/>
    <tableColumn id="18" xr3:uid="{1AA1621E-3390-4016-9D8E-EF8FABB1909B}" name="Quotas" dataDxfId="33"/>
    <tableColumn id="19" xr3:uid="{F221D0B3-3DC0-4308-B288-EF591740DC01}" name="Women's status" dataDxfId="32"/>
    <tableColumn id="20" xr3:uid="{996642CB-2D96-4C35-B0B6-CF1FCD767191}" name="Level of human development" dataDxfId="31"/>
    <tableColumn id="21" xr3:uid="{5DA7FC65-B32E-4DCC-AA76-07B647F725A7}" name="Post-conflict situation" dataDxfId="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2000000}" name="sharedCoverage" displayName="sharedCoverage" ref="C8:J10" totalsRowShown="0" headerRowDxfId="19" dataDxfId="18">
  <autoFilter ref="C8:J10" xr:uid="{00000000-0009-0000-0100-000025000000}"/>
  <tableColumns count="8">
    <tableColumn id="1" xr3:uid="{00000000-0010-0000-0200-000001000000}" name="timestamp" dataDxfId="27"/>
    <tableColumn id="2" xr3:uid="{00000000-0010-0000-0200-000002000000}" name="[--0-1---1--] Best configuration (Present, Accuracy) 1" dataDxfId="26"/>
    <tableColumn id="3" xr3:uid="{00000000-0010-0000-0200-000003000000}" name="[--0-1---1--]" dataDxfId="25"/>
    <tableColumn id="4" xr3:uid="{00000000-0010-0000-0200-000004000000}" name="objective" dataDxfId="24"/>
    <tableColumn id="5" xr3:uid="{00000000-0010-0000-0200-000005000000}" name="target outcome" dataDxfId="23"/>
    <tableColumn id="6" xr3:uid="{00000000-0010-0000-0200-000006000000}" name="polx" dataDxfId="22"/>
    <tableColumn id="7" xr3:uid="{00000000-0010-0000-0200-000007000000}" name="oust" dataDxfId="21"/>
    <tableColumn id="8" xr3:uid="{00000000-0010-0000-0200-000008000000}" name="ruler" dataDxfId="2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3000000}" name="Reference" displayName="Reference" ref="B4:E60" totalsRowShown="0" headerRowDxfId="13" dataDxfId="12">
  <autoFilter ref="B4:E60" xr:uid="{00000000-0009-0000-0100-00002D000000}"/>
  <sortState xmlns:xlrd2="http://schemas.microsoft.com/office/spreadsheetml/2017/richdata2" ref="B51:E56">
    <sortCondition ref="C4:C60"/>
  </sortState>
  <tableColumns count="4">
    <tableColumn id="1" xr3:uid="{00000000-0010-0000-0300-000001000000}" name="Sheet" dataDxfId="17"/>
    <tableColumn id="2" xr3:uid="{00000000-0010-0000-0300-000002000000}" name="Name" dataDxfId="16"/>
    <tableColumn id="3" xr3:uid="{00000000-0010-0000-0300-000003000000}" name="Help" dataDxfId="15"/>
    <tableColumn id="4" xr3:uid="{00000000-0010-0000-0300-000004000000}" name="Type" dataDxfId="1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6">
            <a:lumMod val="75000"/>
          </a:schemeClr>
        </a:solidFill>
        <a:ln>
          <a:noFill/>
        </a:ln>
        <a:effectLst>
          <a:outerShdw blurRad="50800" dist="38100" dir="2700000" algn="tl" rotWithShape="0">
            <a:schemeClr val="accent6">
              <a:lumMod val="50000"/>
              <a:alpha val="40000"/>
            </a:schemeClr>
          </a:outerShdw>
        </a:effectLst>
      </a:spPr>
      <a:bodyPr vertOverflow="clip" horzOverflow="clip" rtlCol="0" anchor="ctr"/>
      <a:lstStyle>
        <a:defPPr algn="l">
          <a:defRPr sz="11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richardjdavies.wordpress.com/" TargetMode="External"/><Relationship Id="rId7" Type="http://schemas.openxmlformats.org/officeDocument/2006/relationships/printerSettings" Target="../printerSettings/printerSettings1.bin"/><Relationship Id="rId2" Type="http://schemas.openxmlformats.org/officeDocument/2006/relationships/hyperlink" Target="http://www.evalc3.net/" TargetMode="External"/><Relationship Id="rId1" Type="http://schemas.openxmlformats.org/officeDocument/2006/relationships/hyperlink" Target="http://www.evalc3.net/" TargetMode="External"/><Relationship Id="rId6" Type="http://schemas.openxmlformats.org/officeDocument/2006/relationships/hyperlink" Target="http://www.mlkrook.org/pdf/Krook_PS_2010.pdf" TargetMode="External"/><Relationship Id="rId5" Type="http://schemas.openxmlformats.org/officeDocument/2006/relationships/hyperlink" Target="https://creativecommons.org/licenses/by-nc-sa/4.0/" TargetMode="External"/><Relationship Id="rId4" Type="http://schemas.openxmlformats.org/officeDocument/2006/relationships/hyperlink" Target="https://creativecommons.org/license/by-nc-sa/4.0/"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hyperlink" Target="http://www.evalc3.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A24"/>
  <sheetViews>
    <sheetView showGridLines="0" showRowColHeaders="0" tabSelected="1" zoomScaleNormal="100" workbookViewId="0"/>
  </sheetViews>
  <sheetFormatPr defaultColWidth="9.140625" defaultRowHeight="15" x14ac:dyDescent="0.25"/>
  <cols>
    <col min="1" max="1" width="9.140625" style="48"/>
    <col min="2" max="2" width="11.28515625" style="48" customWidth="1"/>
    <col min="3" max="5" width="9.140625" style="48"/>
    <col min="6" max="6" width="8.42578125" style="48" customWidth="1"/>
    <col min="7" max="10" width="9.140625" style="48"/>
    <col min="11" max="11" width="11.140625" style="48" customWidth="1"/>
    <col min="12" max="13" width="9.140625" style="48"/>
    <col min="14" max="14" width="9.140625" style="48" customWidth="1"/>
    <col min="15" max="16384" width="9.140625" style="48"/>
  </cols>
  <sheetData>
    <row r="1" spans="1:27" ht="60" customHeight="1" x14ac:dyDescent="0.25">
      <c r="A1" s="49"/>
      <c r="B1" s="49"/>
      <c r="C1" s="49"/>
      <c r="D1" s="49"/>
      <c r="E1" s="49"/>
      <c r="F1" s="49"/>
      <c r="G1" s="49"/>
      <c r="H1" s="49"/>
      <c r="I1" s="49"/>
      <c r="J1" s="49"/>
      <c r="K1" s="49"/>
      <c r="L1" s="49"/>
      <c r="M1" s="49"/>
      <c r="N1" s="49"/>
      <c r="O1" s="49"/>
      <c r="P1" s="49"/>
      <c r="Q1" s="49"/>
      <c r="R1" s="49"/>
      <c r="S1" s="49"/>
      <c r="T1" s="49"/>
      <c r="U1" s="49"/>
      <c r="V1" s="49"/>
      <c r="W1" s="49"/>
      <c r="X1" s="49"/>
      <c r="Y1" s="49"/>
      <c r="Z1" s="49"/>
      <c r="AA1" s="49"/>
    </row>
    <row r="2" spans="1:27" ht="24.75" customHeight="1" x14ac:dyDescent="0.25">
      <c r="A2" s="50"/>
      <c r="B2" s="50"/>
      <c r="C2" s="50"/>
      <c r="D2" s="50"/>
      <c r="E2" s="50"/>
      <c r="F2" s="50"/>
      <c r="G2" s="50"/>
      <c r="H2" s="50"/>
      <c r="I2" s="50"/>
      <c r="J2" s="50"/>
      <c r="K2" s="50"/>
      <c r="L2" s="50"/>
      <c r="M2" s="50"/>
      <c r="N2" s="50"/>
      <c r="O2" s="50"/>
      <c r="P2" s="50"/>
      <c r="Q2" s="50"/>
      <c r="R2" s="50"/>
      <c r="S2" s="50"/>
      <c r="T2" s="50"/>
      <c r="U2" s="50"/>
      <c r="V2" s="50"/>
      <c r="W2" s="50"/>
      <c r="X2" s="50"/>
      <c r="Y2" s="50"/>
      <c r="Z2" s="50"/>
      <c r="AA2" s="50"/>
    </row>
    <row r="3" spans="1:27" x14ac:dyDescent="0.25">
      <c r="A3" s="51" t="str">
        <f>VersionId</f>
        <v>Version: 2.5.43 @ 08/03/2021 08:03</v>
      </c>
    </row>
    <row r="4" spans="1:27" ht="20.25" thickBot="1" x14ac:dyDescent="0.35">
      <c r="B4" s="52" t="s">
        <v>125</v>
      </c>
      <c r="F4" s="53" t="s">
        <v>42</v>
      </c>
      <c r="G4" s="53"/>
      <c r="H4" s="53"/>
      <c r="L4" s="53" t="s">
        <v>124</v>
      </c>
      <c r="M4" s="53"/>
      <c r="N4" s="53"/>
      <c r="O4" s="53"/>
      <c r="P4" s="53"/>
    </row>
    <row r="5" spans="1:27" ht="15.75" thickTop="1" x14ac:dyDescent="0.25"/>
    <row r="6" spans="1:27" ht="26.25" customHeight="1" x14ac:dyDescent="0.25">
      <c r="B6" s="183" t="s">
        <v>131</v>
      </c>
      <c r="C6" s="183"/>
      <c r="D6" s="183"/>
      <c r="F6" s="54" t="s">
        <v>126</v>
      </c>
      <c r="L6" s="54" t="s">
        <v>93</v>
      </c>
    </row>
    <row r="7" spans="1:27" ht="23.25" x14ac:dyDescent="0.25">
      <c r="B7" s="183"/>
      <c r="C7" s="183"/>
      <c r="D7" s="183"/>
      <c r="F7" s="54" t="s">
        <v>127</v>
      </c>
      <c r="L7" s="54" t="s">
        <v>94</v>
      </c>
    </row>
    <row r="8" spans="1:27" ht="23.25" x14ac:dyDescent="0.25">
      <c r="B8" s="183"/>
      <c r="C8" s="183"/>
      <c r="D8" s="183"/>
      <c r="F8" s="54" t="s">
        <v>128</v>
      </c>
      <c r="L8" s="54" t="s">
        <v>95</v>
      </c>
    </row>
    <row r="9" spans="1:27" ht="23.25" x14ac:dyDescent="0.25">
      <c r="B9" s="182" t="s">
        <v>142</v>
      </c>
      <c r="C9" s="182"/>
      <c r="D9" s="182"/>
      <c r="F9" s="54" t="s">
        <v>129</v>
      </c>
      <c r="L9" s="54"/>
    </row>
    <row r="10" spans="1:27" ht="23.25" x14ac:dyDescent="0.25">
      <c r="B10" s="181" t="s">
        <v>143</v>
      </c>
      <c r="C10" s="181"/>
      <c r="D10" s="181"/>
      <c r="F10" s="54" t="s">
        <v>130</v>
      </c>
      <c r="L10" s="54"/>
    </row>
    <row r="11" spans="1:27" x14ac:dyDescent="0.25">
      <c r="C11" s="55"/>
    </row>
    <row r="12" spans="1:27" x14ac:dyDescent="0.25">
      <c r="B12" s="56"/>
      <c r="C12" s="56"/>
      <c r="D12" s="56"/>
      <c r="E12" s="56"/>
      <c r="F12" s="63" t="s">
        <v>329</v>
      </c>
      <c r="H12" s="56" t="s">
        <v>332</v>
      </c>
      <c r="Q12" s="57"/>
    </row>
    <row r="13" spans="1:27" ht="18.75" customHeight="1" x14ac:dyDescent="0.25">
      <c r="B13" s="56"/>
      <c r="C13" s="56"/>
      <c r="D13" s="56"/>
      <c r="E13" s="56"/>
      <c r="H13" s="56" t="s">
        <v>331</v>
      </c>
      <c r="Q13" s="57"/>
    </row>
    <row r="14" spans="1:27" x14ac:dyDescent="0.25">
      <c r="B14" s="56"/>
      <c r="C14" s="56"/>
      <c r="D14" s="56"/>
      <c r="E14" s="56"/>
      <c r="H14" s="56" t="s">
        <v>330</v>
      </c>
    </row>
    <row r="15" spans="1:27" x14ac:dyDescent="0.25">
      <c r="D15" s="56"/>
    </row>
    <row r="16" spans="1:27" x14ac:dyDescent="0.25">
      <c r="F16" s="56"/>
      <c r="G16" s="56"/>
      <c r="I16" s="56"/>
      <c r="J16" s="56"/>
    </row>
    <row r="17" spans="2:13" x14ac:dyDescent="0.25">
      <c r="B17" s="58" t="s">
        <v>216</v>
      </c>
      <c r="C17" s="55" t="s">
        <v>217</v>
      </c>
      <c r="F17" s="59" t="s">
        <v>255</v>
      </c>
      <c r="H17" s="60" t="s">
        <v>256</v>
      </c>
      <c r="K17" s="61" t="s">
        <v>257</v>
      </c>
      <c r="M17" s="162"/>
    </row>
    <row r="18" spans="2:13" x14ac:dyDescent="0.25">
      <c r="B18" s="58" t="s">
        <v>282</v>
      </c>
      <c r="C18" s="162"/>
      <c r="D18" s="162"/>
      <c r="H18" s="61" t="s">
        <v>258</v>
      </c>
      <c r="K18" s="61" t="s">
        <v>259</v>
      </c>
    </row>
    <row r="19" spans="2:13" x14ac:dyDescent="0.25">
      <c r="B19" s="62"/>
      <c r="H19" s="61" t="s">
        <v>310</v>
      </c>
      <c r="K19" s="55" t="s">
        <v>311</v>
      </c>
    </row>
    <row r="20" spans="2:13" x14ac:dyDescent="0.25">
      <c r="B20" s="62"/>
      <c r="H20" s="61"/>
    </row>
    <row r="21" spans="2:13" x14ac:dyDescent="0.25">
      <c r="B21" s="63" t="s">
        <v>229</v>
      </c>
      <c r="D21" s="64" t="s">
        <v>230</v>
      </c>
      <c r="E21" s="64"/>
      <c r="F21" s="64"/>
      <c r="G21" s="64"/>
      <c r="H21" s="64"/>
      <c r="I21" s="64"/>
      <c r="J21" s="64"/>
      <c r="K21" s="64"/>
    </row>
    <row r="23" spans="2:13" x14ac:dyDescent="0.25">
      <c r="B23" s="65" t="s">
        <v>306</v>
      </c>
      <c r="D23" s="48" t="s">
        <v>307</v>
      </c>
    </row>
    <row r="24" spans="2:13" x14ac:dyDescent="0.25">
      <c r="D24" s="48" t="s">
        <v>305</v>
      </c>
    </row>
  </sheetData>
  <sheetProtection sheet="1" objects="1" scenarios="1"/>
  <dataConsolidate/>
  <mergeCells count="3">
    <mergeCell ref="B10:D10"/>
    <mergeCell ref="B9:D9"/>
    <mergeCell ref="B6:D8"/>
  </mergeCells>
  <hyperlinks>
    <hyperlink ref="B10:D10" r:id="rId1" display="http://www.evalc3.net/" xr:uid="{00000000-0004-0000-0000-000000000000}"/>
    <hyperlink ref="B10" r:id="rId2" xr:uid="{00000000-0004-0000-0000-000001000000}"/>
    <hyperlink ref="C17" r:id="rId3" xr:uid="{00000000-0004-0000-0000-000002000000}"/>
    <hyperlink ref="D21" r:id="rId4" xr:uid="{00000000-0004-0000-0000-000003000000}"/>
    <hyperlink ref="D21:J21" r:id="rId5" display="Creative Commons Attribution-NonCommercial-ShareAlike 4.0 International " xr:uid="{00000000-0004-0000-0000-000004000000}"/>
    <hyperlink ref="K19" r:id="rId6" xr:uid="{00000000-0004-0000-0000-000005000000}"/>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G27"/>
  <sheetViews>
    <sheetView showRowColHeaders="0" zoomScaleNormal="100" workbookViewId="0"/>
  </sheetViews>
  <sheetFormatPr defaultColWidth="9.140625" defaultRowHeight="15" x14ac:dyDescent="0.25"/>
  <cols>
    <col min="1" max="16384" width="9.140625" style="1"/>
  </cols>
  <sheetData>
    <row r="1" spans="1:7" x14ac:dyDescent="0.25">
      <c r="A1" s="1" t="s">
        <v>170</v>
      </c>
      <c r="B1" s="1" t="s">
        <v>171</v>
      </c>
      <c r="C1" s="1" t="s">
        <v>172</v>
      </c>
      <c r="D1" s="1" t="s">
        <v>173</v>
      </c>
      <c r="E1" s="1" t="s">
        <v>174</v>
      </c>
      <c r="F1" s="1" t="s">
        <v>175</v>
      </c>
      <c r="G1" s="1" t="s">
        <v>176</v>
      </c>
    </row>
    <row r="2" spans="1:7" x14ac:dyDescent="0.25">
      <c r="A2" s="1" t="s">
        <v>144</v>
      </c>
      <c r="B2" s="1">
        <v>1</v>
      </c>
      <c r="C2" s="1">
        <v>0</v>
      </c>
      <c r="D2" s="1">
        <v>0</v>
      </c>
      <c r="E2" s="1">
        <v>1</v>
      </c>
      <c r="F2" s="1">
        <v>0</v>
      </c>
      <c r="G2" s="1">
        <v>0</v>
      </c>
    </row>
    <row r="3" spans="1:7" x14ac:dyDescent="0.25">
      <c r="A3" s="1" t="s">
        <v>145</v>
      </c>
      <c r="B3" s="1">
        <v>0</v>
      </c>
      <c r="C3" s="1">
        <v>1</v>
      </c>
      <c r="D3" s="1">
        <v>1</v>
      </c>
      <c r="E3" s="1">
        <v>1</v>
      </c>
      <c r="F3" s="1">
        <v>0</v>
      </c>
      <c r="G3" s="1">
        <v>0</v>
      </c>
    </row>
    <row r="4" spans="1:7" x14ac:dyDescent="0.25">
      <c r="A4" s="1" t="s">
        <v>146</v>
      </c>
      <c r="B4" s="1">
        <v>1</v>
      </c>
      <c r="C4" s="1">
        <v>0</v>
      </c>
      <c r="D4" s="1">
        <v>0</v>
      </c>
      <c r="E4" s="1">
        <v>0</v>
      </c>
      <c r="F4" s="1">
        <v>1</v>
      </c>
      <c r="G4" s="1">
        <v>0</v>
      </c>
    </row>
    <row r="5" spans="1:7" x14ac:dyDescent="0.25">
      <c r="A5" s="1" t="s">
        <v>147</v>
      </c>
      <c r="B5" s="1">
        <v>1</v>
      </c>
      <c r="C5" s="1">
        <v>1</v>
      </c>
      <c r="D5" s="1">
        <v>0</v>
      </c>
      <c r="E5" s="1">
        <v>0</v>
      </c>
      <c r="F5" s="1">
        <v>1</v>
      </c>
      <c r="G5" s="1">
        <v>1</v>
      </c>
    </row>
    <row r="6" spans="1:7" x14ac:dyDescent="0.25">
      <c r="A6" s="1" t="s">
        <v>148</v>
      </c>
      <c r="B6" s="1">
        <v>0</v>
      </c>
      <c r="C6" s="1">
        <v>0</v>
      </c>
      <c r="D6" s="1">
        <v>0</v>
      </c>
      <c r="E6" s="1">
        <v>1</v>
      </c>
      <c r="F6" s="1">
        <v>1</v>
      </c>
      <c r="G6" s="1">
        <v>0</v>
      </c>
    </row>
    <row r="7" spans="1:7" x14ac:dyDescent="0.25">
      <c r="A7" s="1" t="s">
        <v>149</v>
      </c>
      <c r="B7" s="1">
        <v>0</v>
      </c>
      <c r="C7" s="1">
        <v>0</v>
      </c>
      <c r="D7" s="1">
        <v>0</v>
      </c>
      <c r="E7" s="1">
        <v>1</v>
      </c>
      <c r="F7" s="1">
        <v>1</v>
      </c>
      <c r="G7" s="1">
        <v>0</v>
      </c>
    </row>
    <row r="8" spans="1:7" x14ac:dyDescent="0.25">
      <c r="A8" s="1" t="s">
        <v>150</v>
      </c>
      <c r="B8" s="1">
        <v>0</v>
      </c>
      <c r="C8" s="1">
        <v>1</v>
      </c>
      <c r="D8" s="1">
        <v>0</v>
      </c>
      <c r="E8" s="1">
        <v>0</v>
      </c>
      <c r="F8" s="1">
        <v>1</v>
      </c>
      <c r="G8" s="1">
        <v>1</v>
      </c>
    </row>
    <row r="9" spans="1:7" x14ac:dyDescent="0.25">
      <c r="A9" s="1" t="s">
        <v>151</v>
      </c>
      <c r="B9" s="1">
        <v>0</v>
      </c>
      <c r="C9" s="1">
        <v>0</v>
      </c>
      <c r="D9" s="1">
        <v>1</v>
      </c>
      <c r="E9" s="1">
        <v>1</v>
      </c>
      <c r="F9" s="1">
        <v>0</v>
      </c>
      <c r="G9" s="1">
        <v>0</v>
      </c>
    </row>
    <row r="10" spans="1:7" x14ac:dyDescent="0.25">
      <c r="A10" s="1" t="s">
        <v>152</v>
      </c>
      <c r="B10" s="1">
        <v>0</v>
      </c>
      <c r="C10" s="1">
        <v>0</v>
      </c>
      <c r="D10" s="1">
        <v>0</v>
      </c>
      <c r="E10" s="1">
        <v>1</v>
      </c>
      <c r="F10" s="1">
        <v>0</v>
      </c>
      <c r="G10" s="1">
        <v>0</v>
      </c>
    </row>
    <row r="11" spans="1:7" x14ac:dyDescent="0.25">
      <c r="A11" s="1" t="s">
        <v>153</v>
      </c>
      <c r="B11" s="1">
        <v>0</v>
      </c>
      <c r="C11" s="1">
        <v>0</v>
      </c>
      <c r="D11" s="1">
        <v>0</v>
      </c>
      <c r="E11" s="1">
        <v>1</v>
      </c>
      <c r="F11" s="1">
        <v>0</v>
      </c>
      <c r="G11" s="1">
        <v>0</v>
      </c>
    </row>
    <row r="12" spans="1:7" x14ac:dyDescent="0.25">
      <c r="A12" s="1" t="s">
        <v>154</v>
      </c>
      <c r="B12" s="1">
        <v>1</v>
      </c>
      <c r="C12" s="1">
        <v>0</v>
      </c>
      <c r="D12" s="1">
        <v>0</v>
      </c>
      <c r="E12" s="1">
        <v>0</v>
      </c>
      <c r="F12" s="1">
        <v>1</v>
      </c>
      <c r="G12" s="1">
        <v>0</v>
      </c>
    </row>
    <row r="13" spans="1:7" x14ac:dyDescent="0.25">
      <c r="A13" s="1" t="s">
        <v>155</v>
      </c>
      <c r="B13" s="1">
        <v>0</v>
      </c>
      <c r="C13" s="1">
        <v>0</v>
      </c>
      <c r="D13" s="1">
        <v>0</v>
      </c>
      <c r="E13" s="1">
        <v>1</v>
      </c>
      <c r="F13" s="1">
        <v>0</v>
      </c>
      <c r="G13" s="1">
        <v>0</v>
      </c>
    </row>
    <row r="14" spans="1:7" x14ac:dyDescent="0.25">
      <c r="A14" s="1" t="s">
        <v>156</v>
      </c>
      <c r="B14" s="1">
        <v>0</v>
      </c>
      <c r="C14" s="1">
        <v>0</v>
      </c>
      <c r="D14" s="1">
        <v>1</v>
      </c>
      <c r="E14" s="1">
        <v>1</v>
      </c>
      <c r="F14" s="1">
        <v>1</v>
      </c>
      <c r="G14" s="1">
        <v>1</v>
      </c>
    </row>
    <row r="15" spans="1:7" x14ac:dyDescent="0.25">
      <c r="A15" s="1" t="s">
        <v>157</v>
      </c>
      <c r="B15" s="1">
        <v>0</v>
      </c>
      <c r="C15" s="1">
        <v>0</v>
      </c>
      <c r="D15" s="1">
        <v>0</v>
      </c>
      <c r="E15" s="1">
        <v>1</v>
      </c>
      <c r="F15" s="1">
        <v>0</v>
      </c>
      <c r="G15" s="1">
        <v>0</v>
      </c>
    </row>
    <row r="16" spans="1:7" x14ac:dyDescent="0.25">
      <c r="A16" s="1" t="s">
        <v>158</v>
      </c>
      <c r="B16" s="1">
        <v>0</v>
      </c>
      <c r="C16" s="1">
        <v>1</v>
      </c>
      <c r="D16" s="1">
        <v>1</v>
      </c>
      <c r="E16" s="1">
        <v>0</v>
      </c>
      <c r="F16" s="1">
        <v>0</v>
      </c>
      <c r="G16" s="1">
        <v>0</v>
      </c>
    </row>
    <row r="17" spans="1:7" x14ac:dyDescent="0.25">
      <c r="A17" s="1" t="s">
        <v>159</v>
      </c>
      <c r="B17" s="1">
        <v>0</v>
      </c>
      <c r="C17" s="1">
        <v>1</v>
      </c>
      <c r="D17" s="1">
        <v>0</v>
      </c>
      <c r="E17" s="1">
        <v>0</v>
      </c>
      <c r="F17" s="1">
        <v>0</v>
      </c>
      <c r="G17" s="1">
        <v>0</v>
      </c>
    </row>
    <row r="18" spans="1:7" x14ac:dyDescent="0.25">
      <c r="A18" s="1" t="s">
        <v>160</v>
      </c>
      <c r="B18" s="1">
        <v>1</v>
      </c>
      <c r="C18" s="1">
        <v>1</v>
      </c>
      <c r="D18" s="1">
        <v>0</v>
      </c>
      <c r="E18" s="1">
        <v>0</v>
      </c>
      <c r="F18" s="1">
        <v>1</v>
      </c>
      <c r="G18" s="1">
        <v>1</v>
      </c>
    </row>
    <row r="19" spans="1:7" x14ac:dyDescent="0.25">
      <c r="A19" s="1" t="s">
        <v>161</v>
      </c>
      <c r="B19" s="1">
        <v>1</v>
      </c>
      <c r="C19" s="1">
        <v>1</v>
      </c>
      <c r="D19" s="1">
        <v>1</v>
      </c>
      <c r="E19" s="1">
        <v>1</v>
      </c>
      <c r="F19" s="1">
        <v>1</v>
      </c>
      <c r="G19" s="1">
        <v>1</v>
      </c>
    </row>
    <row r="20" spans="1:7" x14ac:dyDescent="0.25">
      <c r="A20" s="1" t="s">
        <v>162</v>
      </c>
      <c r="B20" s="1">
        <v>0</v>
      </c>
      <c r="C20" s="1">
        <v>1</v>
      </c>
      <c r="D20" s="1">
        <v>0</v>
      </c>
      <c r="E20" s="1">
        <v>0</v>
      </c>
      <c r="F20" s="1">
        <v>0</v>
      </c>
      <c r="G20" s="1">
        <v>0</v>
      </c>
    </row>
    <row r="21" spans="1:7" x14ac:dyDescent="0.25">
      <c r="A21" s="1" t="s">
        <v>163</v>
      </c>
      <c r="B21" s="1">
        <v>0</v>
      </c>
      <c r="C21" s="1">
        <v>0</v>
      </c>
      <c r="D21" s="1">
        <v>0</v>
      </c>
      <c r="E21" s="1">
        <v>1</v>
      </c>
      <c r="F21" s="1">
        <v>0</v>
      </c>
      <c r="G21" s="1">
        <v>0</v>
      </c>
    </row>
    <row r="22" spans="1:7" x14ac:dyDescent="0.25">
      <c r="A22" s="1" t="s">
        <v>164</v>
      </c>
      <c r="B22" s="1">
        <v>0</v>
      </c>
      <c r="C22" s="1">
        <v>1</v>
      </c>
      <c r="D22" s="1">
        <v>0</v>
      </c>
      <c r="E22" s="1">
        <v>1</v>
      </c>
      <c r="F22" s="1">
        <v>0</v>
      </c>
      <c r="G22" s="1">
        <v>1</v>
      </c>
    </row>
    <row r="23" spans="1:7" x14ac:dyDescent="0.25">
      <c r="A23" s="1" t="s">
        <v>165</v>
      </c>
      <c r="B23" s="1">
        <v>1</v>
      </c>
      <c r="C23" s="1">
        <v>0</v>
      </c>
      <c r="D23" s="1">
        <v>0</v>
      </c>
      <c r="E23" s="1">
        <v>0</v>
      </c>
      <c r="F23" s="1">
        <v>1</v>
      </c>
      <c r="G23" s="1">
        <v>0</v>
      </c>
    </row>
    <row r="24" spans="1:7" x14ac:dyDescent="0.25">
      <c r="A24" s="1" t="s">
        <v>166</v>
      </c>
      <c r="B24" s="1">
        <v>1</v>
      </c>
      <c r="C24" s="1">
        <v>1</v>
      </c>
      <c r="D24" s="1">
        <v>1</v>
      </c>
      <c r="E24" s="1">
        <v>1</v>
      </c>
      <c r="F24" s="1">
        <v>1</v>
      </c>
      <c r="G24" s="1">
        <v>1</v>
      </c>
    </row>
    <row r="25" spans="1:7" x14ac:dyDescent="0.25">
      <c r="A25" s="1" t="s">
        <v>167</v>
      </c>
      <c r="B25" s="1">
        <v>0</v>
      </c>
      <c r="C25" s="1">
        <v>1</v>
      </c>
      <c r="D25" s="1">
        <v>0</v>
      </c>
      <c r="E25" s="1">
        <v>1</v>
      </c>
      <c r="F25" s="1">
        <v>0</v>
      </c>
      <c r="G25" s="1">
        <v>1</v>
      </c>
    </row>
    <row r="26" spans="1:7" x14ac:dyDescent="0.25">
      <c r="A26" s="1" t="s">
        <v>168</v>
      </c>
      <c r="B26" s="1">
        <v>0</v>
      </c>
      <c r="C26" s="1">
        <v>1</v>
      </c>
      <c r="D26" s="1">
        <v>1</v>
      </c>
      <c r="E26" s="1">
        <v>1</v>
      </c>
      <c r="F26" s="1">
        <v>1</v>
      </c>
      <c r="G26" s="1">
        <v>1</v>
      </c>
    </row>
    <row r="27" spans="1:7" x14ac:dyDescent="0.25">
      <c r="A27" s="1" t="s">
        <v>169</v>
      </c>
      <c r="B27" s="1">
        <v>0</v>
      </c>
      <c r="C27" s="1">
        <v>0</v>
      </c>
      <c r="D27" s="1">
        <v>0</v>
      </c>
      <c r="E27" s="1">
        <v>1</v>
      </c>
      <c r="F27" s="1">
        <v>0</v>
      </c>
      <c r="G27" s="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3"/>
  <dimension ref="C1:I32"/>
  <sheetViews>
    <sheetView zoomScaleNormal="100" workbookViewId="0">
      <pane ySplit="2" topLeftCell="A3" activePane="bottomLeft" state="frozen"/>
      <selection pane="bottomLeft" activeCell="C5" sqref="C5:I31"/>
    </sheetView>
  </sheetViews>
  <sheetFormatPr defaultColWidth="9.140625" defaultRowHeight="15" x14ac:dyDescent="0.25"/>
  <cols>
    <col min="1" max="1" width="9.140625" style="48"/>
    <col min="2" max="2" width="10.7109375" style="48" customWidth="1"/>
    <col min="3" max="3" width="11.28515625" style="48" customWidth="1"/>
    <col min="4" max="4" width="9.140625" style="48"/>
    <col min="5" max="8" width="9.140625" style="48" customWidth="1"/>
    <col min="9" max="16384" width="9.140625" style="48"/>
  </cols>
  <sheetData>
    <row r="1" spans="3:9" s="46" customFormat="1" ht="60" customHeight="1" x14ac:dyDescent="0.25"/>
    <row r="2" spans="3:9" s="47" customFormat="1" ht="24.95" customHeight="1" x14ac:dyDescent="0.25"/>
    <row r="4" spans="3:9" ht="21.75" customHeight="1" thickBot="1" x14ac:dyDescent="0.3">
      <c r="C4" s="48" t="s">
        <v>316</v>
      </c>
    </row>
    <row r="5" spans="3:9" ht="15.75" thickTop="1" x14ac:dyDescent="0.25">
      <c r="C5" s="180"/>
      <c r="D5"/>
      <c r="E5"/>
      <c r="F5"/>
      <c r="G5"/>
      <c r="H5"/>
      <c r="I5"/>
    </row>
    <row r="6" spans="3:9" x14ac:dyDescent="0.25">
      <c r="C6"/>
      <c r="D6"/>
      <c r="E6"/>
      <c r="F6"/>
      <c r="G6"/>
      <c r="H6"/>
      <c r="I6"/>
    </row>
    <row r="7" spans="3:9" x14ac:dyDescent="0.25">
      <c r="C7"/>
      <c r="D7"/>
      <c r="E7"/>
      <c r="F7"/>
      <c r="G7"/>
      <c r="H7"/>
      <c r="I7"/>
    </row>
    <row r="8" spans="3:9" x14ac:dyDescent="0.25">
      <c r="C8"/>
      <c r="D8"/>
      <c r="E8"/>
      <c r="F8"/>
      <c r="G8"/>
      <c r="H8"/>
      <c r="I8"/>
    </row>
    <row r="9" spans="3:9" x14ac:dyDescent="0.25">
      <c r="C9"/>
      <c r="D9"/>
      <c r="E9"/>
      <c r="F9"/>
      <c r="G9"/>
      <c r="H9"/>
      <c r="I9"/>
    </row>
    <row r="10" spans="3:9" x14ac:dyDescent="0.25">
      <c r="C10"/>
      <c r="D10"/>
      <c r="E10"/>
      <c r="F10"/>
      <c r="G10"/>
      <c r="H10"/>
      <c r="I10"/>
    </row>
    <row r="11" spans="3:9" x14ac:dyDescent="0.25">
      <c r="C11"/>
      <c r="D11"/>
      <c r="E11"/>
      <c r="F11"/>
      <c r="G11"/>
      <c r="H11"/>
      <c r="I11"/>
    </row>
    <row r="12" spans="3:9" x14ac:dyDescent="0.25">
      <c r="C12"/>
      <c r="D12"/>
      <c r="E12"/>
      <c r="F12"/>
      <c r="G12"/>
      <c r="H12"/>
      <c r="I12"/>
    </row>
    <row r="13" spans="3:9" x14ac:dyDescent="0.25">
      <c r="C13"/>
      <c r="D13"/>
      <c r="E13"/>
      <c r="F13"/>
      <c r="G13"/>
      <c r="H13"/>
      <c r="I13"/>
    </row>
    <row r="14" spans="3:9" x14ac:dyDescent="0.25">
      <c r="C14"/>
      <c r="D14"/>
      <c r="E14"/>
      <c r="F14"/>
      <c r="G14"/>
      <c r="H14"/>
      <c r="I14"/>
    </row>
    <row r="15" spans="3:9" x14ac:dyDescent="0.25">
      <c r="C15"/>
      <c r="D15"/>
      <c r="E15"/>
      <c r="F15"/>
      <c r="G15"/>
      <c r="H15"/>
      <c r="I15"/>
    </row>
    <row r="16" spans="3:9" x14ac:dyDescent="0.25">
      <c r="C16"/>
      <c r="D16"/>
      <c r="E16"/>
      <c r="F16"/>
      <c r="G16"/>
      <c r="H16"/>
      <c r="I16"/>
    </row>
    <row r="17" spans="3:9" x14ac:dyDescent="0.25">
      <c r="C17"/>
      <c r="D17"/>
      <c r="E17"/>
      <c r="F17"/>
      <c r="G17"/>
      <c r="H17"/>
      <c r="I17"/>
    </row>
    <row r="18" spans="3:9" x14ac:dyDescent="0.25">
      <c r="C18"/>
      <c r="D18"/>
      <c r="E18"/>
      <c r="F18"/>
      <c r="G18"/>
      <c r="H18"/>
      <c r="I18"/>
    </row>
    <row r="19" spans="3:9" x14ac:dyDescent="0.25">
      <c r="C19"/>
      <c r="D19"/>
      <c r="E19"/>
      <c r="F19"/>
      <c r="G19"/>
      <c r="H19"/>
      <c r="I19"/>
    </row>
    <row r="20" spans="3:9" x14ac:dyDescent="0.25">
      <c r="C20"/>
      <c r="D20"/>
      <c r="E20"/>
      <c r="F20"/>
      <c r="G20"/>
      <c r="H20"/>
      <c r="I20"/>
    </row>
    <row r="21" spans="3:9" x14ac:dyDescent="0.25">
      <c r="C21"/>
      <c r="D21"/>
      <c r="E21"/>
      <c r="F21"/>
      <c r="G21"/>
      <c r="H21"/>
      <c r="I21"/>
    </row>
    <row r="22" spans="3:9" x14ac:dyDescent="0.25">
      <c r="C22"/>
      <c r="D22"/>
      <c r="E22"/>
      <c r="F22"/>
      <c r="G22"/>
      <c r="H22"/>
      <c r="I22"/>
    </row>
    <row r="23" spans="3:9" x14ac:dyDescent="0.25">
      <c r="C23"/>
      <c r="D23"/>
      <c r="E23"/>
      <c r="F23"/>
      <c r="G23"/>
      <c r="H23"/>
      <c r="I23"/>
    </row>
    <row r="24" spans="3:9" x14ac:dyDescent="0.25">
      <c r="C24"/>
      <c r="D24"/>
      <c r="E24"/>
      <c r="F24"/>
      <c r="G24"/>
      <c r="H24"/>
      <c r="I24"/>
    </row>
    <row r="25" spans="3:9" x14ac:dyDescent="0.25">
      <c r="C25"/>
      <c r="D25"/>
      <c r="E25"/>
      <c r="F25"/>
      <c r="G25"/>
      <c r="H25"/>
      <c r="I25"/>
    </row>
    <row r="26" spans="3:9" x14ac:dyDescent="0.25">
      <c r="C26"/>
      <c r="D26"/>
      <c r="E26"/>
      <c r="F26"/>
      <c r="G26"/>
      <c r="H26"/>
      <c r="I26"/>
    </row>
    <row r="27" spans="3:9" x14ac:dyDescent="0.25">
      <c r="C27"/>
      <c r="D27"/>
      <c r="E27"/>
      <c r="F27"/>
      <c r="G27"/>
      <c r="H27"/>
      <c r="I27"/>
    </row>
    <row r="28" spans="3:9" x14ac:dyDescent="0.25">
      <c r="C28"/>
      <c r="D28"/>
      <c r="E28"/>
      <c r="F28"/>
      <c r="G28"/>
      <c r="H28"/>
      <c r="I28"/>
    </row>
    <row r="29" spans="3:9" x14ac:dyDescent="0.25">
      <c r="C29"/>
      <c r="D29"/>
      <c r="E29"/>
      <c r="F29"/>
      <c r="G29"/>
      <c r="H29"/>
      <c r="I29"/>
    </row>
    <row r="30" spans="3:9" x14ac:dyDescent="0.25">
      <c r="C30"/>
      <c r="D30"/>
      <c r="E30"/>
      <c r="F30"/>
      <c r="G30"/>
      <c r="H30"/>
      <c r="I30"/>
    </row>
    <row r="31" spans="3:9" x14ac:dyDescent="0.25">
      <c r="C31"/>
      <c r="D31"/>
      <c r="E31"/>
      <c r="F31"/>
      <c r="G31"/>
      <c r="H31"/>
      <c r="I31"/>
    </row>
    <row r="32" spans="3:9" x14ac:dyDescent="0.25">
      <c r="C32"/>
      <c r="D32"/>
      <c r="E32"/>
      <c r="F32"/>
      <c r="G32"/>
      <c r="H32"/>
      <c r="I32"/>
    </row>
  </sheetData>
  <sheetProtection sheet="1" objects="1" scenarios="1"/>
  <dataConsolid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sheetPr>
  <dimension ref="B1:J5"/>
  <sheetViews>
    <sheetView zoomScaleNormal="100" workbookViewId="0">
      <selection activeCell="C8" sqref="C8"/>
    </sheetView>
  </sheetViews>
  <sheetFormatPr defaultColWidth="9.140625" defaultRowHeight="15" x14ac:dyDescent="0.25"/>
  <cols>
    <col min="1" max="1" width="9.140625" style="48"/>
    <col min="2" max="2" width="10.7109375" style="48" customWidth="1"/>
    <col min="3" max="3" width="13.7109375" style="48" bestFit="1" customWidth="1"/>
    <col min="4" max="4" width="17.85546875" style="48" bestFit="1" customWidth="1"/>
    <col min="5" max="5" width="9.5703125" style="48" bestFit="1" customWidth="1"/>
    <col min="6" max="6" width="17.7109375" style="48" bestFit="1" customWidth="1"/>
    <col min="7" max="7" width="29.85546875" style="48" bestFit="1" customWidth="1"/>
    <col min="8" max="8" width="23" style="48" bestFit="1" customWidth="1"/>
    <col min="9" max="9" width="32.7109375" style="48" bestFit="1" customWidth="1"/>
    <col min="10" max="13" width="9.140625" style="48" customWidth="1"/>
    <col min="14" max="14" width="9.140625" style="48" bestFit="1" customWidth="1"/>
    <col min="15" max="15" width="12.140625" style="48" customWidth="1"/>
    <col min="16" max="22" width="12.140625" style="48" bestFit="1" customWidth="1"/>
    <col min="23" max="23" width="22.140625" style="48" customWidth="1"/>
    <col min="24" max="24" width="37" style="48" customWidth="1"/>
    <col min="25" max="25" width="15" style="48" bestFit="1" customWidth="1"/>
    <col min="26" max="26" width="19.7109375" style="48" bestFit="1" customWidth="1"/>
    <col min="27" max="27" width="34.28515625" style="48" bestFit="1" customWidth="1"/>
    <col min="28" max="28" width="12.85546875" style="48" bestFit="1" customWidth="1"/>
    <col min="29" max="29" width="20.7109375" style="48" bestFit="1" customWidth="1"/>
    <col min="30" max="30" width="26" style="48" bestFit="1" customWidth="1"/>
    <col min="31" max="31" width="20.140625" style="48" bestFit="1" customWidth="1"/>
    <col min="32" max="32" width="14.42578125" style="48" bestFit="1" customWidth="1"/>
    <col min="33" max="33" width="44.7109375" style="48" bestFit="1" customWidth="1"/>
    <col min="34" max="34" width="13" style="48" bestFit="1" customWidth="1"/>
    <col min="35" max="35" width="9.140625" style="48"/>
    <col min="36" max="36" width="32.140625" style="48" bestFit="1" customWidth="1"/>
    <col min="37" max="37" width="15.7109375" style="48" bestFit="1" customWidth="1"/>
    <col min="38" max="38" width="15.7109375" style="48" customWidth="1"/>
    <col min="39" max="39" width="18.140625" style="48" bestFit="1" customWidth="1"/>
    <col min="40" max="40" width="19.140625" style="48" bestFit="1" customWidth="1"/>
    <col min="41" max="41" width="9.140625" style="48" customWidth="1"/>
    <col min="42" max="50" width="9.140625" style="48"/>
    <col min="51" max="53" width="9.42578125" style="48" bestFit="1" customWidth="1"/>
    <col min="54" max="62" width="9.140625" style="48"/>
    <col min="63" max="68" width="9.42578125" style="48" bestFit="1" customWidth="1"/>
    <col min="69" max="77" width="10.28515625" style="48" bestFit="1" customWidth="1"/>
    <col min="78" max="83" width="11.42578125" style="48" bestFit="1" customWidth="1"/>
    <col min="84" max="92" width="10.28515625" style="48" bestFit="1" customWidth="1"/>
    <col min="93" max="98" width="11.42578125" style="48" bestFit="1" customWidth="1"/>
    <col min="99" max="107" width="9.140625" style="48"/>
    <col min="108" max="113" width="9.42578125" style="48" bestFit="1" customWidth="1"/>
    <col min="114" max="122" width="9.140625" style="48"/>
    <col min="123" max="131" width="9.42578125" style="48" bestFit="1" customWidth="1"/>
    <col min="132" max="132" width="9.140625" style="48" customWidth="1"/>
    <col min="133" max="16384" width="9.140625" style="48"/>
  </cols>
  <sheetData>
    <row r="1" spans="2:8" s="46" customFormat="1" ht="60" customHeight="1" x14ac:dyDescent="0.25"/>
    <row r="2" spans="2:8" s="47" customFormat="1" ht="24.95" customHeight="1" x14ac:dyDescent="0.25">
      <c r="B2" s="143"/>
      <c r="C2" s="144"/>
      <c r="D2" s="143"/>
      <c r="E2" s="145"/>
      <c r="F2" s="143"/>
      <c r="G2" s="145"/>
    </row>
    <row r="4" spans="2:8" x14ac:dyDescent="0.25">
      <c r="C4" s="146"/>
      <c r="D4" s="147"/>
      <c r="E4" s="148"/>
      <c r="F4" s="149"/>
      <c r="G4" s="146"/>
      <c r="H4" s="149"/>
    </row>
    <row r="5" spans="2:8" ht="14.25" customHeight="1" x14ac:dyDescent="0.25"/>
  </sheetData>
  <sheetProtection sheet="1" objects="1" scenarios="1"/>
  <dataConsolidate/>
  <conditionalFormatting sqref="AO7:EA7">
    <cfRule type="expression" dxfId="8" priority="13" stopIfTrue="1">
      <formula>NOT(AO$7=#REF!)</formula>
    </cfRule>
  </conditionalFormatting>
  <conditionalFormatting sqref="AL7:AN7">
    <cfRule type="expression" dxfId="7" priority="50" stopIfTrue="1">
      <formula>NOT(AL$7=#REF!)</formula>
    </cfRule>
  </conditionalFormatting>
  <conditionalFormatting sqref="W7:AK7">
    <cfRule type="expression" dxfId="6" priority="52" stopIfTrue="1">
      <formula>NOT(W$7=#REF!)</formula>
    </cfRule>
  </conditionalFormatting>
  <conditionalFormatting sqref="O7:V7">
    <cfRule type="expression" dxfId="5" priority="56" stopIfTrue="1">
      <formula>NOT(O$7=#REF!)</formula>
    </cfRule>
  </conditionalFormatting>
  <conditionalFormatting sqref="J7:N7">
    <cfRule type="expression" dxfId="4" priority="58" stopIfTrue="1">
      <formula>NOT(J$7=#REF!)</formula>
    </cfRule>
  </conditionalFormatting>
  <conditionalFormatting sqref="C7:I7">
    <cfRule type="expression" dxfId="2" priority="62" stopIfTrue="1">
      <formula>NOT(C$7=#REF!)</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tabColor theme="1" tint="4.9989318521683403E-2"/>
  </sheetPr>
  <dimension ref="A2:L35"/>
  <sheetViews>
    <sheetView showRowColHeaders="0" zoomScaleNormal="100" workbookViewId="0"/>
  </sheetViews>
  <sheetFormatPr defaultColWidth="9.140625" defaultRowHeight="15" x14ac:dyDescent="0.25"/>
  <cols>
    <col min="2" max="2" width="23" bestFit="1" customWidth="1"/>
    <col min="3" max="3" width="33.85546875" bestFit="1" customWidth="1"/>
    <col min="4" max="4" width="12.140625" bestFit="1" customWidth="1"/>
    <col min="5" max="5" width="8.85546875" bestFit="1" customWidth="1"/>
    <col min="6" max="6" width="9.5703125" bestFit="1" customWidth="1"/>
    <col min="7" max="7" width="5.85546875" bestFit="1" customWidth="1"/>
    <col min="8" max="9" width="9.28515625" bestFit="1" customWidth="1"/>
    <col min="11" max="11" width="19.42578125" customWidth="1"/>
    <col min="12" max="12" width="22.42578125" customWidth="1"/>
  </cols>
  <sheetData>
    <row r="2" spans="1:12" x14ac:dyDescent="0.25">
      <c r="B2" t="s">
        <v>232</v>
      </c>
      <c r="C2" t="s">
        <v>234</v>
      </c>
      <c r="D2" t="s">
        <v>235</v>
      </c>
      <c r="E2" t="s">
        <v>211</v>
      </c>
    </row>
    <row r="3" spans="1:12" x14ac:dyDescent="0.25">
      <c r="B3" s="160" t="e">
        <f t="array" ref="B3">SUM( IF( FREQUENCY( IF( attributeString &lt;&gt; "", MATCH( attributeString, attributeString, 0 )  ), ROW( attributeString) - 9 ), 1))</f>
        <v>#REF!</v>
      </c>
      <c r="C3" s="160" t="e">
        <f t="array" ref="C3">SUM( IF( FREQUENCY( IF( outcomeString &lt;&gt; "", MATCH( outcomeString, outcomeString, 0 )  ), ROW( outcomeString) - 9 ), 1))</f>
        <v>#REF!</v>
      </c>
      <c r="D3" s="161" t="e">
        <f>1-((outcomeConfigCount-attributeConfigCount)/attributeConfigCount)</f>
        <v>#REF!</v>
      </c>
      <c r="E3" s="161" t="e">
        <f>attributeConfigCount / 2^COUNTIF(columnSelections, AttributeLabel)</f>
        <v>#REF!</v>
      </c>
    </row>
    <row r="8" spans="1:12" x14ac:dyDescent="0.25">
      <c r="C8" s="153"/>
      <c r="D8" s="153"/>
      <c r="E8" s="153"/>
      <c r="F8" s="153"/>
      <c r="G8" s="153"/>
      <c r="H8" s="153"/>
      <c r="I8" s="153"/>
    </row>
    <row r="9" spans="1:12" x14ac:dyDescent="0.25">
      <c r="C9" s="153"/>
      <c r="D9" s="153"/>
      <c r="E9" s="153"/>
      <c r="F9" s="153"/>
      <c r="G9" s="153"/>
      <c r="H9" s="153"/>
      <c r="I9" s="153"/>
      <c r="J9" s="159" t="s">
        <v>203</v>
      </c>
      <c r="K9" s="159" t="s">
        <v>232</v>
      </c>
      <c r="L9" s="159" t="s">
        <v>233</v>
      </c>
    </row>
    <row r="10" spans="1:12" x14ac:dyDescent="0.25">
      <c r="A10" s="153"/>
      <c r="C10" s="157" t="e">
        <f>_xlfn.SINGLE(IF( AND( #REF!,_xlfn.SINGLE(columnSelections) = AttributeLabel ),#REF!,""))</f>
        <v>#REF!</v>
      </c>
      <c r="D10" s="157" t="e">
        <f>_xlfn.SINGLE(IF( AND( #REF!,_xlfn.SINGLE(columnSelections) = AttributeLabel ),#REF!,""))</f>
        <v>#REF!</v>
      </c>
      <c r="E10" s="157" t="e">
        <f>_xlfn.SINGLE(IF( AND( #REF!,_xlfn.SINGLE(columnSelections) = AttributeLabel ),#REF!,""))</f>
        <v>#REF!</v>
      </c>
      <c r="F10" s="157" t="e">
        <f>_xlfn.SINGLE(IF( AND( #REF!,_xlfn.SINGLE(columnSelections) = AttributeLabel ),#REF!,""))</f>
        <v>#REF!</v>
      </c>
      <c r="G10" s="157" t="e">
        <f>_xlfn.SINGLE(IF( AND( #REF!,_xlfn.SINGLE(columnSelections) = AttributeLabel ),#REF!,""))</f>
        <v>#REF!</v>
      </c>
      <c r="H10" s="157" t="e">
        <f>_xlfn.SINGLE(IF( AND( #REF!,_xlfn.SINGLE(columnSelections) = AttributeLabel ),#REF!,""))</f>
        <v>#REF!</v>
      </c>
      <c r="I10" s="157" t="e">
        <f>_xlfn.SINGLE(IF( AND( #REF!,_xlfn.SINGLE(columnSelections) = AttributeLabel ),#REF!,""))</f>
        <v>#REF!</v>
      </c>
      <c r="J10" t="e">
        <f t="array" aca="1" ref="J10:J35" ca="1">OFFSET(#REF!, 0, MATCH(OutcomeLabel, InputMetaRow, 0) -1)</f>
        <v>#REF!</v>
      </c>
      <c r="K10" t="e">
        <f>IF(#REF!,CONCATENATE($C10, $D10, $E10, $F10, $G10, $H10, $I10), "")</f>
        <v>#REF!</v>
      </c>
      <c r="L10" t="e">
        <f>IF(#REF!,CONCATENATE($C10, $D10, $E10, $F10, $G10, $H10, $I10, $J10), "")</f>
        <v>#REF!</v>
      </c>
    </row>
    <row r="11" spans="1:12" x14ac:dyDescent="0.25">
      <c r="C11" s="157" t="e">
        <f>_xlfn.SINGLE(IF( AND( #REF!,_xlfn.SINGLE(columnSelections) = AttributeLabel ),#REF!,""))</f>
        <v>#REF!</v>
      </c>
      <c r="D11" s="157" t="e">
        <f>_xlfn.SINGLE(IF( AND( #REF!,_xlfn.SINGLE(columnSelections) = AttributeLabel ),#REF!,""))</f>
        <v>#REF!</v>
      </c>
      <c r="E11" s="157" t="e">
        <f>_xlfn.SINGLE(IF( AND( #REF!,_xlfn.SINGLE(columnSelections) = AttributeLabel ),#REF!,""))</f>
        <v>#REF!</v>
      </c>
      <c r="F11" s="157" t="e">
        <f>_xlfn.SINGLE(IF( AND( #REF!,_xlfn.SINGLE(columnSelections) = AttributeLabel ),#REF!,""))</f>
        <v>#REF!</v>
      </c>
      <c r="G11" s="157" t="e">
        <f>_xlfn.SINGLE(IF( AND( #REF!,_xlfn.SINGLE(columnSelections) = AttributeLabel ),#REF!,""))</f>
        <v>#REF!</v>
      </c>
      <c r="H11" s="157" t="e">
        <f>_xlfn.SINGLE(IF( AND( #REF!,_xlfn.SINGLE(columnSelections) = AttributeLabel ),#REF!,""))</f>
        <v>#REF!</v>
      </c>
      <c r="I11" s="157" t="e">
        <f>_xlfn.SINGLE(IF( AND( #REF!,_xlfn.SINGLE(columnSelections) = AttributeLabel ),#REF!,""))</f>
        <v>#REF!</v>
      </c>
      <c r="J11" t="e">
        <f ca="1"/>
        <v>#REF!</v>
      </c>
      <c r="K11" t="e">
        <f>IF(#REF!,CONCATENATE($C11, $D11, $E11, $F11, $G11, $H11, $I11), "")</f>
        <v>#REF!</v>
      </c>
      <c r="L11" t="e">
        <f>IF(#REF!,CONCATENATE($C11, $D11, $E11, $F11, $G11, $H11, $I11, $J11), "")</f>
        <v>#REF!</v>
      </c>
    </row>
    <row r="12" spans="1:12" x14ac:dyDescent="0.25">
      <c r="C12" s="157" t="e">
        <f>_xlfn.SINGLE(IF( AND( #REF!,_xlfn.SINGLE(columnSelections) = AttributeLabel ),#REF!,""))</f>
        <v>#REF!</v>
      </c>
      <c r="D12" s="157" t="e">
        <f>_xlfn.SINGLE(IF( AND( #REF!,_xlfn.SINGLE(columnSelections) = AttributeLabel ),#REF!,""))</f>
        <v>#REF!</v>
      </c>
      <c r="E12" s="157" t="e">
        <f>_xlfn.SINGLE(IF( AND( #REF!,_xlfn.SINGLE(columnSelections) = AttributeLabel ),#REF!,""))</f>
        <v>#REF!</v>
      </c>
      <c r="F12" s="157" t="e">
        <f>_xlfn.SINGLE(IF( AND( #REF!,_xlfn.SINGLE(columnSelections) = AttributeLabel ),#REF!,""))</f>
        <v>#REF!</v>
      </c>
      <c r="G12" s="157" t="e">
        <f>_xlfn.SINGLE(IF( AND( #REF!,_xlfn.SINGLE(columnSelections) = AttributeLabel ),#REF!,""))</f>
        <v>#REF!</v>
      </c>
      <c r="H12" s="157" t="e">
        <f>_xlfn.SINGLE(IF( AND( #REF!,_xlfn.SINGLE(columnSelections) = AttributeLabel ),#REF!,""))</f>
        <v>#REF!</v>
      </c>
      <c r="I12" s="157" t="e">
        <f>_xlfn.SINGLE(IF( AND( #REF!,_xlfn.SINGLE(columnSelections) = AttributeLabel ),#REF!,""))</f>
        <v>#REF!</v>
      </c>
      <c r="J12" t="e">
        <f ca="1"/>
        <v>#REF!</v>
      </c>
      <c r="K12" t="e">
        <f>IF(#REF!,CONCATENATE($C12, $D12, $E12, $F12, $G12, $H12, $I12), "")</f>
        <v>#REF!</v>
      </c>
      <c r="L12" t="e">
        <f>IF(#REF!,CONCATENATE($C12, $D12, $E12, $F12, $G12, $H12, $I12, $J12), "")</f>
        <v>#REF!</v>
      </c>
    </row>
    <row r="13" spans="1:12" x14ac:dyDescent="0.25">
      <c r="C13" s="157" t="e">
        <f>_xlfn.SINGLE(IF( AND( #REF!,_xlfn.SINGLE(columnSelections) = AttributeLabel ),#REF!,""))</f>
        <v>#REF!</v>
      </c>
      <c r="D13" s="157" t="e">
        <f>_xlfn.SINGLE(IF( AND( #REF!,_xlfn.SINGLE(columnSelections) = AttributeLabel ),#REF!,""))</f>
        <v>#REF!</v>
      </c>
      <c r="E13" s="157" t="e">
        <f>_xlfn.SINGLE(IF( AND( #REF!,_xlfn.SINGLE(columnSelections) = AttributeLabel ),#REF!,""))</f>
        <v>#REF!</v>
      </c>
      <c r="F13" s="157" t="e">
        <f>_xlfn.SINGLE(IF( AND( #REF!,_xlfn.SINGLE(columnSelections) = AttributeLabel ),#REF!,""))</f>
        <v>#REF!</v>
      </c>
      <c r="G13" s="157" t="e">
        <f>_xlfn.SINGLE(IF( AND( #REF!,_xlfn.SINGLE(columnSelections) = AttributeLabel ),#REF!,""))</f>
        <v>#REF!</v>
      </c>
      <c r="H13" s="157" t="e">
        <f>_xlfn.SINGLE(IF( AND( #REF!,_xlfn.SINGLE(columnSelections) = AttributeLabel ),#REF!,""))</f>
        <v>#REF!</v>
      </c>
      <c r="I13" s="157" t="e">
        <f>_xlfn.SINGLE(IF( AND( #REF!,_xlfn.SINGLE(columnSelections) = AttributeLabel ),#REF!,""))</f>
        <v>#REF!</v>
      </c>
      <c r="J13" t="e">
        <f ca="1"/>
        <v>#REF!</v>
      </c>
      <c r="K13" t="e">
        <f>IF(#REF!,CONCATENATE($C13, $D13, $E13, $F13, $G13, $H13, $I13), "")</f>
        <v>#REF!</v>
      </c>
      <c r="L13" t="e">
        <f>IF(#REF!,CONCATENATE($C13, $D13, $E13, $F13, $G13, $H13, $I13, $J13), "")</f>
        <v>#REF!</v>
      </c>
    </row>
    <row r="14" spans="1:12" x14ac:dyDescent="0.25">
      <c r="C14" s="157" t="e">
        <f>_xlfn.SINGLE(IF( AND( #REF!,_xlfn.SINGLE(columnSelections) = AttributeLabel ),#REF!,""))</f>
        <v>#REF!</v>
      </c>
      <c r="D14" s="157" t="e">
        <f>_xlfn.SINGLE(IF( AND( #REF!,_xlfn.SINGLE(columnSelections) = AttributeLabel ),#REF!,""))</f>
        <v>#REF!</v>
      </c>
      <c r="E14" s="157" t="e">
        <f>_xlfn.SINGLE(IF( AND( #REF!,_xlfn.SINGLE(columnSelections) = AttributeLabel ),#REF!,""))</f>
        <v>#REF!</v>
      </c>
      <c r="F14" s="157" t="e">
        <f>_xlfn.SINGLE(IF( AND( #REF!,_xlfn.SINGLE(columnSelections) = AttributeLabel ),#REF!,""))</f>
        <v>#REF!</v>
      </c>
      <c r="G14" s="157" t="e">
        <f>_xlfn.SINGLE(IF( AND( #REF!,_xlfn.SINGLE(columnSelections) = AttributeLabel ),#REF!,""))</f>
        <v>#REF!</v>
      </c>
      <c r="H14" s="157" t="e">
        <f>_xlfn.SINGLE(IF( AND( #REF!,_xlfn.SINGLE(columnSelections) = AttributeLabel ),#REF!,""))</f>
        <v>#REF!</v>
      </c>
      <c r="I14" s="157" t="e">
        <f>_xlfn.SINGLE(IF( AND( #REF!,_xlfn.SINGLE(columnSelections) = AttributeLabel ),#REF!,""))</f>
        <v>#REF!</v>
      </c>
      <c r="J14" t="e">
        <f ca="1"/>
        <v>#REF!</v>
      </c>
      <c r="K14" t="e">
        <f>IF(#REF!,CONCATENATE($C14, $D14, $E14, $F14, $G14, $H14, $I14), "")</f>
        <v>#REF!</v>
      </c>
      <c r="L14" t="e">
        <f>IF(#REF!,CONCATENATE($C14, $D14, $E14, $F14, $G14, $H14, $I14, $J14), "")</f>
        <v>#REF!</v>
      </c>
    </row>
    <row r="15" spans="1:12" x14ac:dyDescent="0.25">
      <c r="C15" s="157" t="e">
        <f>_xlfn.SINGLE(IF( AND( #REF!,_xlfn.SINGLE(columnSelections) = AttributeLabel ),#REF!,""))</f>
        <v>#REF!</v>
      </c>
      <c r="D15" s="157" t="e">
        <f>_xlfn.SINGLE(IF( AND( #REF!,_xlfn.SINGLE(columnSelections) = AttributeLabel ),#REF!,""))</f>
        <v>#REF!</v>
      </c>
      <c r="E15" s="157" t="e">
        <f>_xlfn.SINGLE(IF( AND( #REF!,_xlfn.SINGLE(columnSelections) = AttributeLabel ),#REF!,""))</f>
        <v>#REF!</v>
      </c>
      <c r="F15" s="157" t="e">
        <f>_xlfn.SINGLE(IF( AND( #REF!,_xlfn.SINGLE(columnSelections) = AttributeLabel ),#REF!,""))</f>
        <v>#REF!</v>
      </c>
      <c r="G15" s="157" t="e">
        <f>_xlfn.SINGLE(IF( AND( #REF!,_xlfn.SINGLE(columnSelections) = AttributeLabel ),#REF!,""))</f>
        <v>#REF!</v>
      </c>
      <c r="H15" s="157" t="e">
        <f>_xlfn.SINGLE(IF( AND( #REF!,_xlfn.SINGLE(columnSelections) = AttributeLabel ),#REF!,""))</f>
        <v>#REF!</v>
      </c>
      <c r="I15" s="157" t="e">
        <f>_xlfn.SINGLE(IF( AND( #REF!,_xlfn.SINGLE(columnSelections) = AttributeLabel ),#REF!,""))</f>
        <v>#REF!</v>
      </c>
      <c r="J15" t="e">
        <f ca="1"/>
        <v>#REF!</v>
      </c>
      <c r="K15" t="e">
        <f>IF(#REF!,CONCATENATE($C15, $D15, $E15, $F15, $G15, $H15, $I15), "")</f>
        <v>#REF!</v>
      </c>
      <c r="L15" t="e">
        <f>IF(#REF!,CONCATENATE($C15, $D15, $E15, $F15, $G15, $H15, $I15, $J15), "")</f>
        <v>#REF!</v>
      </c>
    </row>
    <row r="16" spans="1:12" x14ac:dyDescent="0.25">
      <c r="C16" s="157" t="e">
        <f>_xlfn.SINGLE(IF( AND( #REF!,_xlfn.SINGLE(columnSelections) = AttributeLabel ),#REF!,""))</f>
        <v>#REF!</v>
      </c>
      <c r="D16" s="157" t="e">
        <f>_xlfn.SINGLE(IF( AND( #REF!,_xlfn.SINGLE(columnSelections) = AttributeLabel ),#REF!,""))</f>
        <v>#REF!</v>
      </c>
      <c r="E16" s="157" t="e">
        <f>_xlfn.SINGLE(IF( AND( #REF!,_xlfn.SINGLE(columnSelections) = AttributeLabel ),#REF!,""))</f>
        <v>#REF!</v>
      </c>
      <c r="F16" s="157" t="e">
        <f>_xlfn.SINGLE(IF( AND( #REF!,_xlfn.SINGLE(columnSelections) = AttributeLabel ),#REF!,""))</f>
        <v>#REF!</v>
      </c>
      <c r="G16" s="157" t="e">
        <f>_xlfn.SINGLE(IF( AND( #REF!,_xlfn.SINGLE(columnSelections) = AttributeLabel ),#REF!,""))</f>
        <v>#REF!</v>
      </c>
      <c r="H16" s="157" t="e">
        <f>_xlfn.SINGLE(IF( AND( #REF!,_xlfn.SINGLE(columnSelections) = AttributeLabel ),#REF!,""))</f>
        <v>#REF!</v>
      </c>
      <c r="I16" s="157" t="e">
        <f>_xlfn.SINGLE(IF( AND( #REF!,_xlfn.SINGLE(columnSelections) = AttributeLabel ),#REF!,""))</f>
        <v>#REF!</v>
      </c>
      <c r="J16" t="e">
        <f ca="1"/>
        <v>#REF!</v>
      </c>
      <c r="K16" t="e">
        <f>IF(#REF!,CONCATENATE($C16, $D16, $E16, $F16, $G16, $H16, $I16), "")</f>
        <v>#REF!</v>
      </c>
      <c r="L16" t="e">
        <f>IF(#REF!,CONCATENATE($C16, $D16, $E16, $F16, $G16, $H16, $I16, $J16), "")</f>
        <v>#REF!</v>
      </c>
    </row>
    <row r="17" spans="3:12" x14ac:dyDescent="0.25">
      <c r="C17" s="157" t="e">
        <f>_xlfn.SINGLE(IF( AND( #REF!,_xlfn.SINGLE(columnSelections) = AttributeLabel ),#REF!,""))</f>
        <v>#REF!</v>
      </c>
      <c r="D17" s="157" t="e">
        <f>_xlfn.SINGLE(IF( AND( #REF!,_xlfn.SINGLE(columnSelections) = AttributeLabel ),#REF!,""))</f>
        <v>#REF!</v>
      </c>
      <c r="E17" s="157" t="e">
        <f>_xlfn.SINGLE(IF( AND( #REF!,_xlfn.SINGLE(columnSelections) = AttributeLabel ),#REF!,""))</f>
        <v>#REF!</v>
      </c>
      <c r="F17" s="157" t="e">
        <f>_xlfn.SINGLE(IF( AND( #REF!,_xlfn.SINGLE(columnSelections) = AttributeLabel ),#REF!,""))</f>
        <v>#REF!</v>
      </c>
      <c r="G17" s="157" t="e">
        <f>_xlfn.SINGLE(IF( AND( #REF!,_xlfn.SINGLE(columnSelections) = AttributeLabel ),#REF!,""))</f>
        <v>#REF!</v>
      </c>
      <c r="H17" s="157" t="e">
        <f>_xlfn.SINGLE(IF( AND( #REF!,_xlfn.SINGLE(columnSelections) = AttributeLabel ),#REF!,""))</f>
        <v>#REF!</v>
      </c>
      <c r="I17" s="157" t="e">
        <f>_xlfn.SINGLE(IF( AND( #REF!,_xlfn.SINGLE(columnSelections) = AttributeLabel ),#REF!,""))</f>
        <v>#REF!</v>
      </c>
      <c r="J17" t="e">
        <f ca="1"/>
        <v>#REF!</v>
      </c>
      <c r="K17" t="e">
        <f>IF(#REF!,CONCATENATE($C17, $D17, $E17, $F17, $G17, $H17, $I17), "")</f>
        <v>#REF!</v>
      </c>
      <c r="L17" t="e">
        <f>IF(#REF!,CONCATENATE($C17, $D17, $E17, $F17, $G17, $H17, $I17, $J17), "")</f>
        <v>#REF!</v>
      </c>
    </row>
    <row r="18" spans="3:12" x14ac:dyDescent="0.25">
      <c r="C18" s="157" t="e">
        <f>_xlfn.SINGLE(IF( AND( #REF!,_xlfn.SINGLE(columnSelections) = AttributeLabel ),#REF!,""))</f>
        <v>#REF!</v>
      </c>
      <c r="D18" s="157" t="e">
        <f>_xlfn.SINGLE(IF( AND( #REF!,_xlfn.SINGLE(columnSelections) = AttributeLabel ),#REF!,""))</f>
        <v>#REF!</v>
      </c>
      <c r="E18" s="157" t="e">
        <f>_xlfn.SINGLE(IF( AND( #REF!,_xlfn.SINGLE(columnSelections) = AttributeLabel ),#REF!,""))</f>
        <v>#REF!</v>
      </c>
      <c r="F18" s="157" t="e">
        <f>_xlfn.SINGLE(IF( AND( #REF!,_xlfn.SINGLE(columnSelections) = AttributeLabel ),#REF!,""))</f>
        <v>#REF!</v>
      </c>
      <c r="G18" s="157" t="e">
        <f>_xlfn.SINGLE(IF( AND( #REF!,_xlfn.SINGLE(columnSelections) = AttributeLabel ),#REF!,""))</f>
        <v>#REF!</v>
      </c>
      <c r="H18" s="157" t="e">
        <f>_xlfn.SINGLE(IF( AND( #REF!,_xlfn.SINGLE(columnSelections) = AttributeLabel ),#REF!,""))</f>
        <v>#REF!</v>
      </c>
      <c r="I18" s="157" t="e">
        <f>_xlfn.SINGLE(IF( AND( #REF!,_xlfn.SINGLE(columnSelections) = AttributeLabel ),#REF!,""))</f>
        <v>#REF!</v>
      </c>
      <c r="J18" t="e">
        <f ca="1"/>
        <v>#REF!</v>
      </c>
      <c r="K18" t="e">
        <f>IF(#REF!,CONCATENATE($C18, $D18, $E18, $F18, $G18, $H18, $I18), "")</f>
        <v>#REF!</v>
      </c>
      <c r="L18" t="e">
        <f>IF(#REF!,CONCATENATE($C18, $D18, $E18, $F18, $G18, $H18, $I18, $J18), "")</f>
        <v>#REF!</v>
      </c>
    </row>
    <row r="19" spans="3:12" x14ac:dyDescent="0.25">
      <c r="C19" s="157" t="e">
        <f>_xlfn.SINGLE(IF( AND( #REF!,_xlfn.SINGLE(columnSelections) = AttributeLabel ),#REF!,""))</f>
        <v>#REF!</v>
      </c>
      <c r="D19" s="157" t="e">
        <f>_xlfn.SINGLE(IF( AND( #REF!,_xlfn.SINGLE(columnSelections) = AttributeLabel ),#REF!,""))</f>
        <v>#REF!</v>
      </c>
      <c r="E19" s="157" t="e">
        <f>_xlfn.SINGLE(IF( AND( #REF!,_xlfn.SINGLE(columnSelections) = AttributeLabel ),#REF!,""))</f>
        <v>#REF!</v>
      </c>
      <c r="F19" s="157" t="e">
        <f>_xlfn.SINGLE(IF( AND( #REF!,_xlfn.SINGLE(columnSelections) = AttributeLabel ),#REF!,""))</f>
        <v>#REF!</v>
      </c>
      <c r="G19" s="157" t="e">
        <f>_xlfn.SINGLE(IF( AND( #REF!,_xlfn.SINGLE(columnSelections) = AttributeLabel ),#REF!,""))</f>
        <v>#REF!</v>
      </c>
      <c r="H19" s="157" t="e">
        <f>_xlfn.SINGLE(IF( AND( #REF!,_xlfn.SINGLE(columnSelections) = AttributeLabel ),#REF!,""))</f>
        <v>#REF!</v>
      </c>
      <c r="I19" s="157" t="e">
        <f>_xlfn.SINGLE(IF( AND( #REF!,_xlfn.SINGLE(columnSelections) = AttributeLabel ),#REF!,""))</f>
        <v>#REF!</v>
      </c>
      <c r="J19" t="e">
        <f ca="1"/>
        <v>#REF!</v>
      </c>
      <c r="K19" t="e">
        <f>IF(#REF!,CONCATENATE($C19, $D19, $E19, $F19, $G19, $H19, $I19), "")</f>
        <v>#REF!</v>
      </c>
      <c r="L19" t="e">
        <f>IF(#REF!,CONCATENATE($C19, $D19, $E19, $F19, $G19, $H19, $I19, $J19), "")</f>
        <v>#REF!</v>
      </c>
    </row>
    <row r="20" spans="3:12" x14ac:dyDescent="0.25">
      <c r="C20" s="157" t="e">
        <f>_xlfn.SINGLE(IF( AND( #REF!,_xlfn.SINGLE(columnSelections) = AttributeLabel ),#REF!,""))</f>
        <v>#REF!</v>
      </c>
      <c r="D20" s="157" t="e">
        <f>_xlfn.SINGLE(IF( AND( #REF!,_xlfn.SINGLE(columnSelections) = AttributeLabel ),#REF!,""))</f>
        <v>#REF!</v>
      </c>
      <c r="E20" s="157" t="e">
        <f>_xlfn.SINGLE(IF( AND( #REF!,_xlfn.SINGLE(columnSelections) = AttributeLabel ),#REF!,""))</f>
        <v>#REF!</v>
      </c>
      <c r="F20" s="157" t="e">
        <f>_xlfn.SINGLE(IF( AND( #REF!,_xlfn.SINGLE(columnSelections) = AttributeLabel ),#REF!,""))</f>
        <v>#REF!</v>
      </c>
      <c r="G20" s="157" t="e">
        <f>_xlfn.SINGLE(IF( AND( #REF!,_xlfn.SINGLE(columnSelections) = AttributeLabel ),#REF!,""))</f>
        <v>#REF!</v>
      </c>
      <c r="H20" s="157" t="e">
        <f>_xlfn.SINGLE(IF( AND( #REF!,_xlfn.SINGLE(columnSelections) = AttributeLabel ),#REF!,""))</f>
        <v>#REF!</v>
      </c>
      <c r="I20" s="157" t="e">
        <f>_xlfn.SINGLE(IF( AND( #REF!,_xlfn.SINGLE(columnSelections) = AttributeLabel ),#REF!,""))</f>
        <v>#REF!</v>
      </c>
      <c r="J20" t="e">
        <f ca="1"/>
        <v>#REF!</v>
      </c>
      <c r="K20" t="e">
        <f>IF(#REF!,CONCATENATE($C20, $D20, $E20, $F20, $G20, $H20, $I20), "")</f>
        <v>#REF!</v>
      </c>
      <c r="L20" t="e">
        <f>IF(#REF!,CONCATENATE($C20, $D20, $E20, $F20, $G20, $H20, $I20, $J20), "")</f>
        <v>#REF!</v>
      </c>
    </row>
    <row r="21" spans="3:12" x14ac:dyDescent="0.25">
      <c r="C21" s="157" t="e">
        <f>_xlfn.SINGLE(IF( AND( #REF!,_xlfn.SINGLE(columnSelections) = AttributeLabel ),#REF!,""))</f>
        <v>#REF!</v>
      </c>
      <c r="D21" s="157" t="e">
        <f>_xlfn.SINGLE(IF( AND( #REF!,_xlfn.SINGLE(columnSelections) = AttributeLabel ),#REF!,""))</f>
        <v>#REF!</v>
      </c>
      <c r="E21" s="157" t="e">
        <f>_xlfn.SINGLE(IF( AND( #REF!,_xlfn.SINGLE(columnSelections) = AttributeLabel ),#REF!,""))</f>
        <v>#REF!</v>
      </c>
      <c r="F21" s="157" t="e">
        <f>_xlfn.SINGLE(IF( AND( #REF!,_xlfn.SINGLE(columnSelections) = AttributeLabel ),#REF!,""))</f>
        <v>#REF!</v>
      </c>
      <c r="G21" s="157" t="e">
        <f>_xlfn.SINGLE(IF( AND( #REF!,_xlfn.SINGLE(columnSelections) = AttributeLabel ),#REF!,""))</f>
        <v>#REF!</v>
      </c>
      <c r="H21" s="157" t="e">
        <f>_xlfn.SINGLE(IF( AND( #REF!,_xlfn.SINGLE(columnSelections) = AttributeLabel ),#REF!,""))</f>
        <v>#REF!</v>
      </c>
      <c r="I21" s="157" t="e">
        <f>_xlfn.SINGLE(IF( AND( #REF!,_xlfn.SINGLE(columnSelections) = AttributeLabel ),#REF!,""))</f>
        <v>#REF!</v>
      </c>
      <c r="J21" t="e">
        <f ca="1"/>
        <v>#REF!</v>
      </c>
      <c r="K21" t="e">
        <f>IF(#REF!,CONCATENATE($C21, $D21, $E21, $F21, $G21, $H21, $I21), "")</f>
        <v>#REF!</v>
      </c>
      <c r="L21" t="e">
        <f>IF(#REF!,CONCATENATE($C21, $D21, $E21, $F21, $G21, $H21, $I21, $J21), "")</f>
        <v>#REF!</v>
      </c>
    </row>
    <row r="22" spans="3:12" x14ac:dyDescent="0.25">
      <c r="C22" s="157" t="e">
        <f>_xlfn.SINGLE(IF( AND( #REF!,_xlfn.SINGLE(columnSelections) = AttributeLabel ),#REF!,""))</f>
        <v>#REF!</v>
      </c>
      <c r="D22" s="157" t="e">
        <f>_xlfn.SINGLE(IF( AND( #REF!,_xlfn.SINGLE(columnSelections) = AttributeLabel ),#REF!,""))</f>
        <v>#REF!</v>
      </c>
      <c r="E22" s="157" t="e">
        <f>_xlfn.SINGLE(IF( AND( #REF!,_xlfn.SINGLE(columnSelections) = AttributeLabel ),#REF!,""))</f>
        <v>#REF!</v>
      </c>
      <c r="F22" s="157" t="e">
        <f>_xlfn.SINGLE(IF( AND( #REF!,_xlfn.SINGLE(columnSelections) = AttributeLabel ),#REF!,""))</f>
        <v>#REF!</v>
      </c>
      <c r="G22" s="157" t="e">
        <f>_xlfn.SINGLE(IF( AND( #REF!,_xlfn.SINGLE(columnSelections) = AttributeLabel ),#REF!,""))</f>
        <v>#REF!</v>
      </c>
      <c r="H22" s="157" t="e">
        <f>_xlfn.SINGLE(IF( AND( #REF!,_xlfn.SINGLE(columnSelections) = AttributeLabel ),#REF!,""))</f>
        <v>#REF!</v>
      </c>
      <c r="I22" s="157" t="e">
        <f>_xlfn.SINGLE(IF( AND( #REF!,_xlfn.SINGLE(columnSelections) = AttributeLabel ),#REF!,""))</f>
        <v>#REF!</v>
      </c>
      <c r="J22" t="e">
        <f ca="1"/>
        <v>#REF!</v>
      </c>
      <c r="K22" t="e">
        <f>IF(#REF!,CONCATENATE($C22, $D22, $E22, $F22, $G22, $H22, $I22), "")</f>
        <v>#REF!</v>
      </c>
      <c r="L22" t="e">
        <f>IF(#REF!,CONCATENATE($C22, $D22, $E22, $F22, $G22, $H22, $I22, $J22), "")</f>
        <v>#REF!</v>
      </c>
    </row>
    <row r="23" spans="3:12" x14ac:dyDescent="0.25">
      <c r="C23" s="157" t="e">
        <f>_xlfn.SINGLE(IF( AND( #REF!,_xlfn.SINGLE(columnSelections) = AttributeLabel ),#REF!,""))</f>
        <v>#REF!</v>
      </c>
      <c r="D23" s="157" t="e">
        <f>_xlfn.SINGLE(IF( AND( #REF!,_xlfn.SINGLE(columnSelections) = AttributeLabel ),#REF!,""))</f>
        <v>#REF!</v>
      </c>
      <c r="E23" s="157" t="e">
        <f>_xlfn.SINGLE(IF( AND( #REF!,_xlfn.SINGLE(columnSelections) = AttributeLabel ),#REF!,""))</f>
        <v>#REF!</v>
      </c>
      <c r="F23" s="157" t="e">
        <f>_xlfn.SINGLE(IF( AND( #REF!,_xlfn.SINGLE(columnSelections) = AttributeLabel ),#REF!,""))</f>
        <v>#REF!</v>
      </c>
      <c r="G23" s="157" t="e">
        <f>_xlfn.SINGLE(IF( AND( #REF!,_xlfn.SINGLE(columnSelections) = AttributeLabel ),#REF!,""))</f>
        <v>#REF!</v>
      </c>
      <c r="H23" s="157" t="e">
        <f>_xlfn.SINGLE(IF( AND( #REF!,_xlfn.SINGLE(columnSelections) = AttributeLabel ),#REF!,""))</f>
        <v>#REF!</v>
      </c>
      <c r="I23" s="157" t="e">
        <f>_xlfn.SINGLE(IF( AND( #REF!,_xlfn.SINGLE(columnSelections) = AttributeLabel ),#REF!,""))</f>
        <v>#REF!</v>
      </c>
      <c r="J23" t="e">
        <f ca="1"/>
        <v>#REF!</v>
      </c>
      <c r="K23" t="e">
        <f>IF(#REF!,CONCATENATE($C23, $D23, $E23, $F23, $G23, $H23, $I23), "")</f>
        <v>#REF!</v>
      </c>
      <c r="L23" t="e">
        <f>IF(#REF!,CONCATENATE($C23, $D23, $E23, $F23, $G23, $H23, $I23, $J23), "")</f>
        <v>#REF!</v>
      </c>
    </row>
    <row r="24" spans="3:12" x14ac:dyDescent="0.25">
      <c r="C24" s="157" t="e">
        <f>_xlfn.SINGLE(IF( AND( #REF!,_xlfn.SINGLE(columnSelections) = AttributeLabel ),#REF!,""))</f>
        <v>#REF!</v>
      </c>
      <c r="D24" s="157" t="e">
        <f>_xlfn.SINGLE(IF( AND( #REF!,_xlfn.SINGLE(columnSelections) = AttributeLabel ),#REF!,""))</f>
        <v>#REF!</v>
      </c>
      <c r="E24" s="157" t="e">
        <f>_xlfn.SINGLE(IF( AND( #REF!,_xlfn.SINGLE(columnSelections) = AttributeLabel ),#REF!,""))</f>
        <v>#REF!</v>
      </c>
      <c r="F24" s="157" t="e">
        <f>_xlfn.SINGLE(IF( AND( #REF!,_xlfn.SINGLE(columnSelections) = AttributeLabel ),#REF!,""))</f>
        <v>#REF!</v>
      </c>
      <c r="G24" s="157" t="e">
        <f>_xlfn.SINGLE(IF( AND( #REF!,_xlfn.SINGLE(columnSelections) = AttributeLabel ),#REF!,""))</f>
        <v>#REF!</v>
      </c>
      <c r="H24" s="157" t="e">
        <f>_xlfn.SINGLE(IF( AND( #REF!,_xlfn.SINGLE(columnSelections) = AttributeLabel ),#REF!,""))</f>
        <v>#REF!</v>
      </c>
      <c r="I24" s="157" t="e">
        <f>_xlfn.SINGLE(IF( AND( #REF!,_xlfn.SINGLE(columnSelections) = AttributeLabel ),#REF!,""))</f>
        <v>#REF!</v>
      </c>
      <c r="J24" t="e">
        <f ca="1"/>
        <v>#REF!</v>
      </c>
      <c r="K24" t="e">
        <f>IF(#REF!,CONCATENATE($C24, $D24, $E24, $F24, $G24, $H24, $I24), "")</f>
        <v>#REF!</v>
      </c>
      <c r="L24" t="e">
        <f>IF(#REF!,CONCATENATE($C24, $D24, $E24, $F24, $G24, $H24, $I24, $J24), "")</f>
        <v>#REF!</v>
      </c>
    </row>
    <row r="25" spans="3:12" x14ac:dyDescent="0.25">
      <c r="C25" s="157" t="e">
        <f>_xlfn.SINGLE(IF( AND( #REF!,_xlfn.SINGLE(columnSelections) = AttributeLabel ),#REF!,""))</f>
        <v>#REF!</v>
      </c>
      <c r="D25" s="157" t="e">
        <f>_xlfn.SINGLE(IF( AND( #REF!,_xlfn.SINGLE(columnSelections) = AttributeLabel ),#REF!,""))</f>
        <v>#REF!</v>
      </c>
      <c r="E25" s="157" t="e">
        <f>_xlfn.SINGLE(IF( AND( #REF!,_xlfn.SINGLE(columnSelections) = AttributeLabel ),#REF!,""))</f>
        <v>#REF!</v>
      </c>
      <c r="F25" s="157" t="e">
        <f>_xlfn.SINGLE(IF( AND( #REF!,_xlfn.SINGLE(columnSelections) = AttributeLabel ),#REF!,""))</f>
        <v>#REF!</v>
      </c>
      <c r="G25" s="157" t="e">
        <f>_xlfn.SINGLE(IF( AND( #REF!,_xlfn.SINGLE(columnSelections) = AttributeLabel ),#REF!,""))</f>
        <v>#REF!</v>
      </c>
      <c r="H25" s="157" t="e">
        <f>_xlfn.SINGLE(IF( AND( #REF!,_xlfn.SINGLE(columnSelections) = AttributeLabel ),#REF!,""))</f>
        <v>#REF!</v>
      </c>
      <c r="I25" s="157" t="e">
        <f>_xlfn.SINGLE(IF( AND( #REF!,_xlfn.SINGLE(columnSelections) = AttributeLabel ),#REF!,""))</f>
        <v>#REF!</v>
      </c>
      <c r="J25" t="e">
        <f ca="1"/>
        <v>#REF!</v>
      </c>
      <c r="K25" t="e">
        <f>IF(#REF!,CONCATENATE($C25, $D25, $E25, $F25, $G25, $H25, $I25), "")</f>
        <v>#REF!</v>
      </c>
      <c r="L25" t="e">
        <f>IF(#REF!,CONCATENATE($C25, $D25, $E25, $F25, $G25, $H25, $I25, $J25), "")</f>
        <v>#REF!</v>
      </c>
    </row>
    <row r="26" spans="3:12" x14ac:dyDescent="0.25">
      <c r="C26" s="157" t="e">
        <f>_xlfn.SINGLE(IF( AND( #REF!,_xlfn.SINGLE(columnSelections) = AttributeLabel ),#REF!,""))</f>
        <v>#REF!</v>
      </c>
      <c r="D26" s="157" t="e">
        <f>_xlfn.SINGLE(IF( AND( #REF!,_xlfn.SINGLE(columnSelections) = AttributeLabel ),#REF!,""))</f>
        <v>#REF!</v>
      </c>
      <c r="E26" s="157" t="e">
        <f>_xlfn.SINGLE(IF( AND( #REF!,_xlfn.SINGLE(columnSelections) = AttributeLabel ),#REF!,""))</f>
        <v>#REF!</v>
      </c>
      <c r="F26" s="157" t="e">
        <f>_xlfn.SINGLE(IF( AND( #REF!,_xlfn.SINGLE(columnSelections) = AttributeLabel ),#REF!,""))</f>
        <v>#REF!</v>
      </c>
      <c r="G26" s="157" t="e">
        <f>_xlfn.SINGLE(IF( AND( #REF!,_xlfn.SINGLE(columnSelections) = AttributeLabel ),#REF!,""))</f>
        <v>#REF!</v>
      </c>
      <c r="H26" s="157" t="e">
        <f>_xlfn.SINGLE(IF( AND( #REF!,_xlfn.SINGLE(columnSelections) = AttributeLabel ),#REF!,""))</f>
        <v>#REF!</v>
      </c>
      <c r="I26" s="157" t="e">
        <f>_xlfn.SINGLE(IF( AND( #REF!,_xlfn.SINGLE(columnSelections) = AttributeLabel ),#REF!,""))</f>
        <v>#REF!</v>
      </c>
      <c r="J26" t="e">
        <f ca="1"/>
        <v>#REF!</v>
      </c>
      <c r="K26" t="e">
        <f>IF(#REF!,CONCATENATE($C26, $D26, $E26, $F26, $G26, $H26, $I26), "")</f>
        <v>#REF!</v>
      </c>
      <c r="L26" t="e">
        <f>IF(#REF!,CONCATENATE($C26, $D26, $E26, $F26, $G26, $H26, $I26, $J26), "")</f>
        <v>#REF!</v>
      </c>
    </row>
    <row r="27" spans="3:12" x14ac:dyDescent="0.25">
      <c r="C27" s="157" t="e">
        <f>_xlfn.SINGLE(IF( AND( #REF!,_xlfn.SINGLE(columnSelections) = AttributeLabel ),#REF!,""))</f>
        <v>#REF!</v>
      </c>
      <c r="D27" s="157" t="e">
        <f>_xlfn.SINGLE(IF( AND( #REF!,_xlfn.SINGLE(columnSelections) = AttributeLabel ),#REF!,""))</f>
        <v>#REF!</v>
      </c>
      <c r="E27" s="157" t="e">
        <f>_xlfn.SINGLE(IF( AND( #REF!,_xlfn.SINGLE(columnSelections) = AttributeLabel ),#REF!,""))</f>
        <v>#REF!</v>
      </c>
      <c r="F27" s="157" t="e">
        <f>_xlfn.SINGLE(IF( AND( #REF!,_xlfn.SINGLE(columnSelections) = AttributeLabel ),#REF!,""))</f>
        <v>#REF!</v>
      </c>
      <c r="G27" s="157" t="e">
        <f>_xlfn.SINGLE(IF( AND( #REF!,_xlfn.SINGLE(columnSelections) = AttributeLabel ),#REF!,""))</f>
        <v>#REF!</v>
      </c>
      <c r="H27" s="157" t="e">
        <f>_xlfn.SINGLE(IF( AND( #REF!,_xlfn.SINGLE(columnSelections) = AttributeLabel ),#REF!,""))</f>
        <v>#REF!</v>
      </c>
      <c r="I27" s="157" t="e">
        <f>_xlfn.SINGLE(IF( AND( #REF!,_xlfn.SINGLE(columnSelections) = AttributeLabel ),#REF!,""))</f>
        <v>#REF!</v>
      </c>
      <c r="J27" t="e">
        <f ca="1"/>
        <v>#REF!</v>
      </c>
      <c r="K27" t="e">
        <f>IF(#REF!,CONCATENATE($C27, $D27, $E27, $F27, $G27, $H27, $I27), "")</f>
        <v>#REF!</v>
      </c>
      <c r="L27" t="e">
        <f>IF(#REF!,CONCATENATE($C27, $D27, $E27, $F27, $G27, $H27, $I27, $J27), "")</f>
        <v>#REF!</v>
      </c>
    </row>
    <row r="28" spans="3:12" x14ac:dyDescent="0.25">
      <c r="C28" s="157" t="e">
        <f>_xlfn.SINGLE(IF( AND( #REF!,_xlfn.SINGLE(columnSelections) = AttributeLabel ),#REF!,""))</f>
        <v>#REF!</v>
      </c>
      <c r="D28" s="157" t="e">
        <f>_xlfn.SINGLE(IF( AND( #REF!,_xlfn.SINGLE(columnSelections) = AttributeLabel ),#REF!,""))</f>
        <v>#REF!</v>
      </c>
      <c r="E28" s="157" t="e">
        <f>_xlfn.SINGLE(IF( AND( #REF!,_xlfn.SINGLE(columnSelections) = AttributeLabel ),#REF!,""))</f>
        <v>#REF!</v>
      </c>
      <c r="F28" s="157" t="e">
        <f>_xlfn.SINGLE(IF( AND( #REF!,_xlfn.SINGLE(columnSelections) = AttributeLabel ),#REF!,""))</f>
        <v>#REF!</v>
      </c>
      <c r="G28" s="157" t="e">
        <f>_xlfn.SINGLE(IF( AND( #REF!,_xlfn.SINGLE(columnSelections) = AttributeLabel ),#REF!,""))</f>
        <v>#REF!</v>
      </c>
      <c r="H28" s="157" t="e">
        <f>_xlfn.SINGLE(IF( AND( #REF!,_xlfn.SINGLE(columnSelections) = AttributeLabel ),#REF!,""))</f>
        <v>#REF!</v>
      </c>
      <c r="I28" s="157" t="e">
        <f>_xlfn.SINGLE(IF( AND( #REF!,_xlfn.SINGLE(columnSelections) = AttributeLabel ),#REF!,""))</f>
        <v>#REF!</v>
      </c>
      <c r="J28" t="e">
        <f ca="1"/>
        <v>#REF!</v>
      </c>
      <c r="K28" t="e">
        <f>IF(#REF!,CONCATENATE($C28, $D28, $E28, $F28, $G28, $H28, $I28), "")</f>
        <v>#REF!</v>
      </c>
      <c r="L28" t="e">
        <f>IF(#REF!,CONCATENATE($C28, $D28, $E28, $F28, $G28, $H28, $I28, $J28), "")</f>
        <v>#REF!</v>
      </c>
    </row>
    <row r="29" spans="3:12" x14ac:dyDescent="0.25">
      <c r="C29" s="157" t="e">
        <f>_xlfn.SINGLE(IF( AND( #REF!,_xlfn.SINGLE(columnSelections) = AttributeLabel ),#REF!,""))</f>
        <v>#REF!</v>
      </c>
      <c r="D29" s="157" t="e">
        <f>_xlfn.SINGLE(IF( AND( #REF!,_xlfn.SINGLE(columnSelections) = AttributeLabel ),#REF!,""))</f>
        <v>#REF!</v>
      </c>
      <c r="E29" s="157" t="e">
        <f>_xlfn.SINGLE(IF( AND( #REF!,_xlfn.SINGLE(columnSelections) = AttributeLabel ),#REF!,""))</f>
        <v>#REF!</v>
      </c>
      <c r="F29" s="157" t="e">
        <f>_xlfn.SINGLE(IF( AND( #REF!,_xlfn.SINGLE(columnSelections) = AttributeLabel ),#REF!,""))</f>
        <v>#REF!</v>
      </c>
      <c r="G29" s="157" t="e">
        <f>_xlfn.SINGLE(IF( AND( #REF!,_xlfn.SINGLE(columnSelections) = AttributeLabel ),#REF!,""))</f>
        <v>#REF!</v>
      </c>
      <c r="H29" s="157" t="e">
        <f>_xlfn.SINGLE(IF( AND( #REF!,_xlfn.SINGLE(columnSelections) = AttributeLabel ),#REF!,""))</f>
        <v>#REF!</v>
      </c>
      <c r="I29" s="157" t="e">
        <f>_xlfn.SINGLE(IF( AND( #REF!,_xlfn.SINGLE(columnSelections) = AttributeLabel ),#REF!,""))</f>
        <v>#REF!</v>
      </c>
      <c r="J29" t="e">
        <f ca="1"/>
        <v>#REF!</v>
      </c>
      <c r="K29" t="e">
        <f>IF(#REF!,CONCATENATE($C29, $D29, $E29, $F29, $G29, $H29, $I29), "")</f>
        <v>#REF!</v>
      </c>
      <c r="L29" t="e">
        <f>IF(#REF!,CONCATENATE($C29, $D29, $E29, $F29, $G29, $H29, $I29, $J29), "")</f>
        <v>#REF!</v>
      </c>
    </row>
    <row r="30" spans="3:12" x14ac:dyDescent="0.25">
      <c r="C30" s="157" t="e">
        <f>_xlfn.SINGLE(IF( AND( #REF!,_xlfn.SINGLE(columnSelections) = AttributeLabel ),#REF!,""))</f>
        <v>#REF!</v>
      </c>
      <c r="D30" s="157" t="e">
        <f>_xlfn.SINGLE(IF( AND( #REF!,_xlfn.SINGLE(columnSelections) = AttributeLabel ),#REF!,""))</f>
        <v>#REF!</v>
      </c>
      <c r="E30" s="157" t="e">
        <f>_xlfn.SINGLE(IF( AND( #REF!,_xlfn.SINGLE(columnSelections) = AttributeLabel ),#REF!,""))</f>
        <v>#REF!</v>
      </c>
      <c r="F30" s="157" t="e">
        <f>_xlfn.SINGLE(IF( AND( #REF!,_xlfn.SINGLE(columnSelections) = AttributeLabel ),#REF!,""))</f>
        <v>#REF!</v>
      </c>
      <c r="G30" s="157" t="e">
        <f>_xlfn.SINGLE(IF( AND( #REF!,_xlfn.SINGLE(columnSelections) = AttributeLabel ),#REF!,""))</f>
        <v>#REF!</v>
      </c>
      <c r="H30" s="157" t="e">
        <f>_xlfn.SINGLE(IF( AND( #REF!,_xlfn.SINGLE(columnSelections) = AttributeLabel ),#REF!,""))</f>
        <v>#REF!</v>
      </c>
      <c r="I30" s="157" t="e">
        <f>_xlfn.SINGLE(IF( AND( #REF!,_xlfn.SINGLE(columnSelections) = AttributeLabel ),#REF!,""))</f>
        <v>#REF!</v>
      </c>
      <c r="J30" t="e">
        <f ca="1"/>
        <v>#REF!</v>
      </c>
      <c r="K30" t="e">
        <f>IF(#REF!,CONCATENATE($C30, $D30, $E30, $F30, $G30, $H30, $I30), "")</f>
        <v>#REF!</v>
      </c>
      <c r="L30" t="e">
        <f>IF(#REF!,CONCATENATE($C30, $D30, $E30, $F30, $G30, $H30, $I30, $J30), "")</f>
        <v>#REF!</v>
      </c>
    </row>
    <row r="31" spans="3:12" x14ac:dyDescent="0.25">
      <c r="C31" s="157" t="e">
        <f>_xlfn.SINGLE(IF( AND( #REF!,_xlfn.SINGLE(columnSelections) = AttributeLabel ),#REF!,""))</f>
        <v>#REF!</v>
      </c>
      <c r="D31" s="157" t="e">
        <f>_xlfn.SINGLE(IF( AND( #REF!,_xlfn.SINGLE(columnSelections) = AttributeLabel ),#REF!,""))</f>
        <v>#REF!</v>
      </c>
      <c r="E31" s="157" t="e">
        <f>_xlfn.SINGLE(IF( AND( #REF!,_xlfn.SINGLE(columnSelections) = AttributeLabel ),#REF!,""))</f>
        <v>#REF!</v>
      </c>
      <c r="F31" s="157" t="e">
        <f>_xlfn.SINGLE(IF( AND( #REF!,_xlfn.SINGLE(columnSelections) = AttributeLabel ),#REF!,""))</f>
        <v>#REF!</v>
      </c>
      <c r="G31" s="157" t="e">
        <f>_xlfn.SINGLE(IF( AND( #REF!,_xlfn.SINGLE(columnSelections) = AttributeLabel ),#REF!,""))</f>
        <v>#REF!</v>
      </c>
      <c r="H31" s="157" t="e">
        <f>_xlfn.SINGLE(IF( AND( #REF!,_xlfn.SINGLE(columnSelections) = AttributeLabel ),#REF!,""))</f>
        <v>#REF!</v>
      </c>
      <c r="I31" s="157" t="e">
        <f>_xlfn.SINGLE(IF( AND( #REF!,_xlfn.SINGLE(columnSelections) = AttributeLabel ),#REF!,""))</f>
        <v>#REF!</v>
      </c>
      <c r="J31" t="e">
        <f ca="1"/>
        <v>#REF!</v>
      </c>
      <c r="K31" t="e">
        <f>IF(#REF!,CONCATENATE($C31, $D31, $E31, $F31, $G31, $H31, $I31), "")</f>
        <v>#REF!</v>
      </c>
      <c r="L31" t="e">
        <f>IF(#REF!,CONCATENATE($C31, $D31, $E31, $F31, $G31, $H31, $I31, $J31), "")</f>
        <v>#REF!</v>
      </c>
    </row>
    <row r="32" spans="3:12" x14ac:dyDescent="0.25">
      <c r="C32" s="157" t="e">
        <f>_xlfn.SINGLE(IF( AND( #REF!,_xlfn.SINGLE(columnSelections) = AttributeLabel ),#REF!,""))</f>
        <v>#REF!</v>
      </c>
      <c r="D32" s="157" t="e">
        <f>_xlfn.SINGLE(IF( AND( #REF!,_xlfn.SINGLE(columnSelections) = AttributeLabel ),#REF!,""))</f>
        <v>#REF!</v>
      </c>
      <c r="E32" s="157" t="e">
        <f>_xlfn.SINGLE(IF( AND( #REF!,_xlfn.SINGLE(columnSelections) = AttributeLabel ),#REF!,""))</f>
        <v>#REF!</v>
      </c>
      <c r="F32" s="157" t="e">
        <f>_xlfn.SINGLE(IF( AND( #REF!,_xlfn.SINGLE(columnSelections) = AttributeLabel ),#REF!,""))</f>
        <v>#REF!</v>
      </c>
      <c r="G32" s="157" t="e">
        <f>_xlfn.SINGLE(IF( AND( #REF!,_xlfn.SINGLE(columnSelections) = AttributeLabel ),#REF!,""))</f>
        <v>#REF!</v>
      </c>
      <c r="H32" s="157" t="e">
        <f>_xlfn.SINGLE(IF( AND( #REF!,_xlfn.SINGLE(columnSelections) = AttributeLabel ),#REF!,""))</f>
        <v>#REF!</v>
      </c>
      <c r="I32" s="157" t="e">
        <f>_xlfn.SINGLE(IF( AND( #REF!,_xlfn.SINGLE(columnSelections) = AttributeLabel ),#REF!,""))</f>
        <v>#REF!</v>
      </c>
      <c r="J32" t="e">
        <f ca="1"/>
        <v>#REF!</v>
      </c>
      <c r="K32" t="e">
        <f>IF(#REF!,CONCATENATE($C32, $D32, $E32, $F32, $G32, $H32, $I32), "")</f>
        <v>#REF!</v>
      </c>
      <c r="L32" t="e">
        <f>IF(#REF!,CONCATENATE($C32, $D32, $E32, $F32, $G32, $H32, $I32, $J32), "")</f>
        <v>#REF!</v>
      </c>
    </row>
    <row r="33" spans="3:12" x14ac:dyDescent="0.25">
      <c r="C33" s="157" t="e">
        <f>_xlfn.SINGLE(IF( AND( #REF!,_xlfn.SINGLE(columnSelections) = AttributeLabel ),#REF!,""))</f>
        <v>#REF!</v>
      </c>
      <c r="D33" s="157" t="e">
        <f>_xlfn.SINGLE(IF( AND( #REF!,_xlfn.SINGLE(columnSelections) = AttributeLabel ),#REF!,""))</f>
        <v>#REF!</v>
      </c>
      <c r="E33" s="157" t="e">
        <f>_xlfn.SINGLE(IF( AND( #REF!,_xlfn.SINGLE(columnSelections) = AttributeLabel ),#REF!,""))</f>
        <v>#REF!</v>
      </c>
      <c r="F33" s="157" t="e">
        <f>_xlfn.SINGLE(IF( AND( #REF!,_xlfn.SINGLE(columnSelections) = AttributeLabel ),#REF!,""))</f>
        <v>#REF!</v>
      </c>
      <c r="G33" s="157" t="e">
        <f>_xlfn.SINGLE(IF( AND( #REF!,_xlfn.SINGLE(columnSelections) = AttributeLabel ),#REF!,""))</f>
        <v>#REF!</v>
      </c>
      <c r="H33" s="157" t="e">
        <f>_xlfn.SINGLE(IF( AND( #REF!,_xlfn.SINGLE(columnSelections) = AttributeLabel ),#REF!,""))</f>
        <v>#REF!</v>
      </c>
      <c r="I33" s="157" t="e">
        <f>_xlfn.SINGLE(IF( AND( #REF!,_xlfn.SINGLE(columnSelections) = AttributeLabel ),#REF!,""))</f>
        <v>#REF!</v>
      </c>
      <c r="J33" t="e">
        <f ca="1"/>
        <v>#REF!</v>
      </c>
      <c r="K33" t="e">
        <f>IF(#REF!,CONCATENATE($C33, $D33, $E33, $F33, $G33, $H33, $I33), "")</f>
        <v>#REF!</v>
      </c>
      <c r="L33" t="e">
        <f>IF(#REF!,CONCATENATE($C33, $D33, $E33, $F33, $G33, $H33, $I33, $J33), "")</f>
        <v>#REF!</v>
      </c>
    </row>
    <row r="34" spans="3:12" x14ac:dyDescent="0.25">
      <c r="C34" s="158" t="e">
        <f>_xlfn.SINGLE(IF( AND( #REF!,_xlfn.SINGLE(columnSelections) = AttributeLabel ),#REF!,""))</f>
        <v>#REF!</v>
      </c>
      <c r="D34" s="158" t="e">
        <f>_xlfn.SINGLE(IF( AND( #REF!,_xlfn.SINGLE(columnSelections) = AttributeLabel ),#REF!,""))</f>
        <v>#REF!</v>
      </c>
      <c r="E34" s="158" t="e">
        <f>_xlfn.SINGLE(IF( AND( #REF!,_xlfn.SINGLE(columnSelections) = AttributeLabel ),#REF!,""))</f>
        <v>#REF!</v>
      </c>
      <c r="F34" s="158" t="e">
        <f>_xlfn.SINGLE(IF( AND( #REF!,_xlfn.SINGLE(columnSelections) = AttributeLabel ),#REF!,""))</f>
        <v>#REF!</v>
      </c>
      <c r="G34" s="158" t="e">
        <f>_xlfn.SINGLE(IF( AND( #REF!,_xlfn.SINGLE(columnSelections) = AttributeLabel ),#REF!,""))</f>
        <v>#REF!</v>
      </c>
      <c r="H34" s="158" t="e">
        <f>_xlfn.SINGLE(IF( AND( #REF!,_xlfn.SINGLE(columnSelections) = AttributeLabel ),#REF!,""))</f>
        <v>#REF!</v>
      </c>
      <c r="I34" s="157" t="e">
        <f>_xlfn.SINGLE(IF( AND( #REF!,_xlfn.SINGLE(columnSelections) = AttributeLabel ),#REF!,""))</f>
        <v>#REF!</v>
      </c>
      <c r="J34" t="e">
        <f ca="1"/>
        <v>#REF!</v>
      </c>
      <c r="K34" t="e">
        <f>IF(#REF!,CONCATENATE($C34, $D34, $E34, $F34, $G34, $H34, $I34), "")</f>
        <v>#REF!</v>
      </c>
      <c r="L34" t="e">
        <f>IF(#REF!,CONCATENATE($C34, $D34, $E34, $F34, $G34, $H34, $I34, $J34), "")</f>
        <v>#REF!</v>
      </c>
    </row>
    <row r="35" spans="3:12" x14ac:dyDescent="0.25">
      <c r="C35" s="158" t="e">
        <f>_xlfn.SINGLE(IF( AND( #REF!,_xlfn.SINGLE(columnSelections) = AttributeLabel ),#REF!,""))</f>
        <v>#REF!</v>
      </c>
      <c r="D35" s="158" t="e">
        <f>_xlfn.SINGLE(IF( AND( #REF!,_xlfn.SINGLE(columnSelections) = AttributeLabel ),#REF!,""))</f>
        <v>#REF!</v>
      </c>
      <c r="E35" s="158" t="e">
        <f>_xlfn.SINGLE(IF( AND( #REF!,_xlfn.SINGLE(columnSelections) = AttributeLabel ),#REF!,""))</f>
        <v>#REF!</v>
      </c>
      <c r="F35" s="158" t="e">
        <f>_xlfn.SINGLE(IF( AND( #REF!,_xlfn.SINGLE(columnSelections) = AttributeLabel ),#REF!,""))</f>
        <v>#REF!</v>
      </c>
      <c r="G35" s="158" t="e">
        <f>_xlfn.SINGLE(IF( AND( #REF!,_xlfn.SINGLE(columnSelections) = AttributeLabel ),#REF!,""))</f>
        <v>#REF!</v>
      </c>
      <c r="H35" s="158" t="e">
        <f>_xlfn.SINGLE(IF( AND( #REF!,_xlfn.SINGLE(columnSelections) = AttributeLabel ),#REF!,""))</f>
        <v>#REF!</v>
      </c>
      <c r="I35" s="158" t="e">
        <f>_xlfn.SINGLE(IF( AND( #REF!,_xlfn.SINGLE(columnSelections) = AttributeLabel ),#REF!,""))</f>
        <v>#REF!</v>
      </c>
      <c r="J35" t="e">
        <f ca="1"/>
        <v>#REF!</v>
      </c>
      <c r="K35" t="e">
        <f>IF(#REF!,CONCATENATE($C35, $D35, $E35, $F35, $G35, $H35, $I35), "")</f>
        <v>#REF!</v>
      </c>
      <c r="L35" t="e">
        <f>IF(#REF!,CONCATENATE($C35, $D35, $E35, $F35, $G35, $H35, $I35, $J35), "")</f>
        <v>#REF!</v>
      </c>
    </row>
  </sheetData>
  <dataConsolidate/>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Design">
    <tabColor theme="4" tint="-0.249977111117893"/>
  </sheetPr>
  <dimension ref="A1:AC47"/>
  <sheetViews>
    <sheetView showGridLines="0" showRowColHeaders="0" zoomScaleNormal="100" workbookViewId="0">
      <pane ySplit="5" topLeftCell="A6" activePane="bottomLeft" state="frozen"/>
      <selection pane="bottomLeft" activeCell="C12" sqref="C12:C16"/>
    </sheetView>
  </sheetViews>
  <sheetFormatPr defaultColWidth="9.140625" defaultRowHeight="15" x14ac:dyDescent="0.25"/>
  <cols>
    <col min="1" max="1" width="19.140625" style="48" customWidth="1"/>
    <col min="2" max="2" width="39.42578125" style="48" bestFit="1" customWidth="1"/>
    <col min="3" max="3" width="10.28515625" style="48" customWidth="1"/>
    <col min="4" max="4" width="3.42578125" style="48" customWidth="1"/>
    <col min="5" max="5" width="7.7109375" style="48" customWidth="1"/>
    <col min="6" max="6" width="20.85546875" style="48" customWidth="1"/>
    <col min="7" max="7" width="20.42578125" style="48" customWidth="1"/>
    <col min="8" max="8" width="12.140625" style="48" customWidth="1"/>
    <col min="9" max="9" width="11.42578125" style="48" customWidth="1"/>
    <col min="10" max="10" width="6.42578125" style="48" customWidth="1"/>
    <col min="11" max="11" width="8.28515625" style="48" customWidth="1"/>
    <col min="12" max="12" width="30.28515625" style="48" customWidth="1"/>
    <col min="13" max="13" width="8" style="48" customWidth="1"/>
    <col min="14" max="14" width="8.7109375" style="48" customWidth="1"/>
    <col min="15" max="15" width="9.140625" style="48" customWidth="1"/>
    <col min="16" max="17" width="9.140625" style="48"/>
    <col min="18" max="18" width="9.140625" style="48" customWidth="1"/>
    <col min="19" max="16384" width="9.140625" style="48"/>
  </cols>
  <sheetData>
    <row r="1" spans="1:29" ht="60" customHeight="1" x14ac:dyDescent="0.25">
      <c r="A1" s="49"/>
      <c r="B1" s="49"/>
      <c r="C1" s="49" t="s">
        <v>48</v>
      </c>
      <c r="D1" s="49"/>
      <c r="E1" s="49"/>
      <c r="F1" s="49"/>
      <c r="G1" s="49"/>
      <c r="H1" s="49"/>
      <c r="I1" s="49"/>
      <c r="J1" s="49"/>
      <c r="K1" s="49"/>
      <c r="L1" s="49"/>
      <c r="M1" s="49"/>
      <c r="N1" s="49"/>
      <c r="O1" s="49"/>
      <c r="P1" s="49"/>
      <c r="Q1" s="49"/>
      <c r="R1" s="49"/>
      <c r="S1" s="49"/>
      <c r="T1" s="49"/>
      <c r="U1" s="49"/>
      <c r="V1" s="49"/>
      <c r="W1" s="49"/>
      <c r="X1" s="49"/>
      <c r="Y1" s="49"/>
      <c r="Z1" s="49"/>
      <c r="AA1" s="49"/>
      <c r="AB1" s="49"/>
      <c r="AC1" s="49"/>
    </row>
    <row r="2" spans="1:29" ht="24.75" customHeight="1" x14ac:dyDescent="0.25">
      <c r="A2" s="50"/>
      <c r="B2" s="50"/>
      <c r="C2" s="50"/>
      <c r="D2" s="50"/>
      <c r="E2" s="50"/>
      <c r="F2" s="50"/>
      <c r="G2" s="50"/>
      <c r="H2" s="50"/>
      <c r="I2" s="50"/>
      <c r="J2" s="50"/>
      <c r="K2" s="50"/>
      <c r="L2" s="50"/>
      <c r="M2" s="50"/>
      <c r="N2" s="50"/>
      <c r="O2" s="50"/>
      <c r="P2" s="50"/>
      <c r="Q2" s="50"/>
      <c r="R2" s="50"/>
      <c r="S2" s="50"/>
      <c r="T2" s="50"/>
      <c r="U2" s="50"/>
      <c r="V2" s="50"/>
      <c r="W2" s="50"/>
      <c r="X2" s="50"/>
      <c r="Y2" s="50"/>
      <c r="Z2" s="50"/>
      <c r="AA2" s="50"/>
      <c r="AB2" s="50"/>
      <c r="AC2" s="50"/>
    </row>
    <row r="3" spans="1:29" s="46" customFormat="1" ht="4.5" customHeight="1" x14ac:dyDescent="0.25">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row>
    <row r="4" spans="1:29" s="66" customFormat="1" ht="16.5" customHeight="1" x14ac:dyDescent="0.25">
      <c r="A4" s="77"/>
      <c r="B4" s="184"/>
      <c r="C4" s="184"/>
      <c r="D4" s="184"/>
      <c r="E4" s="184"/>
      <c r="F4" s="184"/>
      <c r="G4" s="184"/>
      <c r="H4" s="184"/>
      <c r="I4" s="184"/>
      <c r="J4" s="184"/>
      <c r="K4" s="78"/>
      <c r="L4" s="78"/>
      <c r="M4" s="78"/>
      <c r="N4" s="78"/>
      <c r="O4" s="78"/>
      <c r="P4" s="78"/>
      <c r="Q4" s="78"/>
      <c r="R4" s="78"/>
      <c r="S4" s="78"/>
      <c r="T4" s="78"/>
      <c r="U4" s="78"/>
      <c r="V4" s="78"/>
      <c r="W4" s="78"/>
      <c r="X4" s="78"/>
      <c r="Y4" s="78"/>
      <c r="Z4" s="78"/>
      <c r="AA4" s="78"/>
      <c r="AB4" s="78"/>
      <c r="AC4" s="78"/>
    </row>
    <row r="5" spans="1:29" s="46" customFormat="1" ht="6" customHeight="1" x14ac:dyDescent="0.25">
      <c r="A5" s="79"/>
      <c r="B5" s="80"/>
      <c r="C5" s="76"/>
      <c r="D5" s="76"/>
      <c r="E5" s="76"/>
      <c r="F5" s="76"/>
      <c r="G5" s="76"/>
      <c r="H5" s="76"/>
      <c r="I5" s="76"/>
      <c r="J5" s="76"/>
      <c r="K5" s="76"/>
      <c r="L5" s="76"/>
      <c r="M5" s="76"/>
      <c r="N5" s="76"/>
      <c r="O5" s="76"/>
      <c r="P5" s="76"/>
      <c r="Q5" s="76"/>
      <c r="R5" s="76"/>
      <c r="S5" s="76"/>
      <c r="T5" s="76"/>
      <c r="U5" s="76"/>
      <c r="V5" s="76"/>
      <c r="W5" s="76"/>
      <c r="X5" s="76"/>
      <c r="Y5" s="76"/>
      <c r="Z5" s="76"/>
      <c r="AA5" s="76"/>
      <c r="AB5" s="76"/>
      <c r="AC5" s="76"/>
    </row>
    <row r="6" spans="1:29" ht="33.75" customHeight="1" x14ac:dyDescent="0.35">
      <c r="A6" s="81"/>
      <c r="B6" s="82" t="s">
        <v>139</v>
      </c>
      <c r="C6" s="81"/>
      <c r="D6" s="81"/>
      <c r="E6" s="83"/>
      <c r="F6" s="84" t="s">
        <v>140</v>
      </c>
      <c r="G6" s="85"/>
      <c r="H6" s="86"/>
      <c r="I6" s="85"/>
      <c r="J6" s="85"/>
      <c r="K6" s="87"/>
      <c r="L6" s="88" t="s">
        <v>141</v>
      </c>
      <c r="M6" s="87"/>
      <c r="N6" s="87"/>
      <c r="O6" s="89"/>
      <c r="P6" s="89"/>
      <c r="Q6" s="89"/>
      <c r="R6" s="89"/>
      <c r="S6" s="89"/>
      <c r="T6" s="89"/>
      <c r="U6" s="89"/>
      <c r="V6" s="89"/>
      <c r="W6" s="89"/>
      <c r="X6" s="89"/>
      <c r="Y6" s="89"/>
      <c r="Z6" s="89"/>
      <c r="AA6" s="89"/>
      <c r="AB6" s="89"/>
      <c r="AC6" s="89"/>
    </row>
    <row r="7" spans="1:29" ht="19.5" customHeight="1" x14ac:dyDescent="0.25">
      <c r="A7" s="90"/>
      <c r="B7" s="89"/>
      <c r="C7" s="89"/>
      <c r="D7" s="91"/>
      <c r="E7" s="83"/>
      <c r="F7" s="92" t="s">
        <v>47</v>
      </c>
      <c r="G7" s="93">
        <f>SUM(H9:I10)</f>
        <v>0</v>
      </c>
      <c r="H7" s="94" t="s">
        <v>25</v>
      </c>
      <c r="I7" s="95"/>
      <c r="J7" s="83"/>
      <c r="K7" s="89"/>
      <c r="L7" s="89"/>
      <c r="M7" s="89"/>
      <c r="N7" s="89"/>
      <c r="O7" s="89"/>
      <c r="P7" s="89"/>
      <c r="Q7" s="89"/>
      <c r="R7" s="89"/>
      <c r="S7" s="89"/>
      <c r="T7" s="89"/>
      <c r="U7" s="89"/>
      <c r="V7" s="89"/>
      <c r="W7" s="89"/>
      <c r="X7" s="89"/>
      <c r="Y7" s="89"/>
      <c r="Z7" s="89"/>
      <c r="AA7" s="89"/>
      <c r="AB7" s="89"/>
      <c r="AC7" s="89"/>
    </row>
    <row r="8" spans="1:29" ht="18" customHeight="1" thickBot="1" x14ac:dyDescent="0.35">
      <c r="A8" s="89"/>
      <c r="B8" s="96" t="s">
        <v>289</v>
      </c>
      <c r="C8" s="97" t="s">
        <v>290</v>
      </c>
      <c r="D8" s="91"/>
      <c r="E8" s="83"/>
      <c r="F8" s="83"/>
      <c r="G8" s="98"/>
      <c r="H8" s="99" t="s">
        <v>2</v>
      </c>
      <c r="I8" s="100" t="s">
        <v>3</v>
      </c>
      <c r="J8" s="101" t="s">
        <v>65</v>
      </c>
      <c r="K8" s="89"/>
      <c r="L8" s="102" t="s">
        <v>238</v>
      </c>
      <c r="M8" s="89"/>
      <c r="N8" s="89"/>
      <c r="O8" s="89"/>
      <c r="P8" s="89"/>
      <c r="Q8" s="89"/>
      <c r="R8" s="89"/>
      <c r="S8" s="89"/>
      <c r="T8" s="89"/>
      <c r="U8" s="89"/>
      <c r="V8" s="89"/>
      <c r="W8" s="89"/>
      <c r="X8" s="89"/>
      <c r="Y8" s="89"/>
      <c r="Z8" s="89"/>
      <c r="AA8" s="89"/>
      <c r="AB8" s="89"/>
      <c r="AC8" s="89"/>
    </row>
    <row r="9" spans="1:29" ht="18" customHeight="1" thickTop="1" thickBot="1" x14ac:dyDescent="0.3">
      <c r="A9" s="90"/>
      <c r="B9" s="103"/>
      <c r="C9" s="9" t="s">
        <v>2</v>
      </c>
      <c r="D9" s="91"/>
      <c r="E9" s="83"/>
      <c r="F9" s="104" t="s">
        <v>138</v>
      </c>
      <c r="G9" s="163" t="s">
        <v>2</v>
      </c>
      <c r="H9" s="105">
        <f>TP</f>
        <v>0</v>
      </c>
      <c r="I9" s="106">
        <f>FP</f>
        <v>0</v>
      </c>
      <c r="J9" s="107" t="e">
        <f>(TP+FP)/TotalCases</f>
        <v>#DIV/0!</v>
      </c>
      <c r="K9" s="89"/>
      <c r="L9" s="89" t="s">
        <v>43</v>
      </c>
      <c r="M9" s="108" t="s">
        <v>37</v>
      </c>
      <c r="N9" s="89"/>
      <c r="O9" s="89"/>
      <c r="P9" s="89"/>
      <c r="Q9" s="89"/>
      <c r="R9" s="89"/>
      <c r="S9" s="89"/>
      <c r="T9" s="89"/>
      <c r="U9" s="89"/>
      <c r="V9" s="89"/>
      <c r="W9" s="89"/>
      <c r="X9" s="89"/>
      <c r="Y9" s="89"/>
      <c r="Z9" s="89"/>
      <c r="AA9" s="89"/>
      <c r="AB9" s="89"/>
      <c r="AC9" s="89"/>
    </row>
    <row r="10" spans="1:29" ht="20.25" customHeight="1" thickTop="1" thickBot="1" x14ac:dyDescent="0.3">
      <c r="A10" s="109"/>
      <c r="B10" s="110" t="s">
        <v>133</v>
      </c>
      <c r="C10" s="89"/>
      <c r="D10" s="91"/>
      <c r="E10" s="83"/>
      <c r="F10" s="104"/>
      <c r="G10" s="163" t="s">
        <v>3</v>
      </c>
      <c r="H10" s="111">
        <f>FN</f>
        <v>0</v>
      </c>
      <c r="I10" s="112">
        <f>TN</f>
        <v>0</v>
      </c>
      <c r="J10" s="107" t="e">
        <f>(FN+TN)/TotalCases</f>
        <v>#DIV/0!</v>
      </c>
      <c r="K10" s="89"/>
      <c r="L10" s="89"/>
      <c r="M10" s="89"/>
      <c r="N10" s="89"/>
      <c r="O10" s="81">
        <f>COUNT(ModelConfiguration)</f>
        <v>0</v>
      </c>
      <c r="P10" s="89"/>
      <c r="Q10" s="89"/>
      <c r="R10" s="89"/>
      <c r="S10" s="89"/>
      <c r="T10" s="89"/>
      <c r="U10" s="89"/>
      <c r="V10" s="89"/>
      <c r="W10" s="89"/>
      <c r="X10" s="89"/>
      <c r="Y10" s="89"/>
      <c r="Z10" s="89"/>
      <c r="AA10" s="89"/>
      <c r="AB10" s="89"/>
      <c r="AC10" s="89"/>
    </row>
    <row r="11" spans="1:29" ht="18" customHeight="1" thickTop="1" x14ac:dyDescent="0.25">
      <c r="A11" s="90"/>
      <c r="B11" s="113" t="s">
        <v>5</v>
      </c>
      <c r="C11" s="114" t="s">
        <v>60</v>
      </c>
      <c r="D11" s="91"/>
      <c r="E11" s="83"/>
      <c r="F11" s="115"/>
      <c r="G11" s="116" t="s">
        <v>65</v>
      </c>
      <c r="H11" s="107" t="e">
        <f>(TP+FN)/TotalCases</f>
        <v>#DIV/0!</v>
      </c>
      <c r="I11" s="107" t="e">
        <f>(FP+TN)/TotalCases</f>
        <v>#DIV/0!</v>
      </c>
      <c r="J11" s="117" t="e">
        <f>SUM(J9:J10)</f>
        <v>#DIV/0!</v>
      </c>
      <c r="K11" s="89"/>
      <c r="L11" s="89"/>
      <c r="M11" s="118"/>
      <c r="N11" s="89"/>
      <c r="O11" s="89"/>
      <c r="P11" s="89"/>
      <c r="Q11" s="89"/>
      <c r="R11" s="89"/>
      <c r="S11" s="89"/>
      <c r="T11" s="89"/>
      <c r="U11" s="89"/>
      <c r="V11" s="89"/>
      <c r="W11" s="89"/>
      <c r="X11" s="89"/>
      <c r="Y11" s="89"/>
      <c r="Z11" s="89"/>
      <c r="AA11" s="89"/>
      <c r="AB11" s="89"/>
      <c r="AC11" s="89"/>
    </row>
    <row r="12" spans="1:29" ht="18" customHeight="1" thickBot="1" x14ac:dyDescent="0.3">
      <c r="A12" s="90"/>
      <c r="B12" s="67"/>
      <c r="C12" s="196"/>
      <c r="D12" s="91"/>
      <c r="E12" s="83"/>
      <c r="F12" s="83"/>
      <c r="G12" s="119"/>
      <c r="H12" s="119"/>
      <c r="I12" s="119"/>
      <c r="J12" s="120"/>
      <c r="K12" s="89"/>
      <c r="L12" s="89"/>
      <c r="M12" s="121"/>
      <c r="N12" s="89"/>
      <c r="O12" s="89"/>
      <c r="P12" s="89"/>
      <c r="Q12" s="89"/>
      <c r="R12" s="89"/>
      <c r="S12" s="89"/>
      <c r="T12" s="89"/>
      <c r="U12" s="89"/>
      <c r="V12" s="89"/>
      <c r="W12" s="89"/>
      <c r="X12" s="89"/>
      <c r="Y12" s="89"/>
      <c r="Z12" s="89"/>
      <c r="AA12" s="89"/>
      <c r="AB12" s="89"/>
      <c r="AC12" s="89"/>
    </row>
    <row r="13" spans="1:29" ht="18" customHeight="1" thickTop="1" x14ac:dyDescent="0.3">
      <c r="A13" s="90"/>
      <c r="D13" s="91"/>
      <c r="E13" s="83"/>
      <c r="F13" s="122" t="s">
        <v>191</v>
      </c>
      <c r="G13" s="83"/>
      <c r="H13" s="83"/>
      <c r="I13" s="83"/>
      <c r="J13" s="83"/>
      <c r="K13" s="89"/>
      <c r="L13" s="89"/>
      <c r="M13" s="118"/>
      <c r="N13" s="89"/>
      <c r="O13" s="89"/>
      <c r="P13" s="89"/>
      <c r="Q13" s="89"/>
      <c r="R13" s="89"/>
      <c r="S13" s="89"/>
      <c r="T13" s="89"/>
      <c r="U13" s="89"/>
      <c r="V13" s="89"/>
      <c r="W13" s="89"/>
      <c r="X13" s="89"/>
      <c r="Y13" s="89"/>
      <c r="Z13" s="89"/>
      <c r="AA13" s="89"/>
      <c r="AB13" s="89"/>
      <c r="AC13" s="89"/>
    </row>
    <row r="14" spans="1:29" ht="18" customHeight="1" thickBot="1" x14ac:dyDescent="0.35">
      <c r="A14" s="90"/>
      <c r="D14" s="89"/>
      <c r="E14" s="83"/>
      <c r="F14" s="123"/>
      <c r="G14" s="124" t="s">
        <v>63</v>
      </c>
      <c r="H14" s="124"/>
      <c r="I14" s="124"/>
      <c r="J14" s="83"/>
      <c r="K14" s="89"/>
      <c r="L14" s="89"/>
      <c r="M14" s="118"/>
      <c r="N14" s="89"/>
      <c r="O14" s="89"/>
      <c r="P14" s="89"/>
      <c r="Q14" s="89"/>
      <c r="R14" s="89"/>
      <c r="S14" s="89"/>
      <c r="T14" s="89"/>
      <c r="U14" s="89"/>
      <c r="V14" s="89"/>
      <c r="W14" s="89"/>
      <c r="X14" s="89"/>
      <c r="Y14" s="89"/>
      <c r="Z14" s="89"/>
      <c r="AA14" s="89"/>
      <c r="AB14" s="89"/>
      <c r="AC14" s="89"/>
    </row>
    <row r="15" spans="1:29" ht="18" customHeight="1" thickBot="1" x14ac:dyDescent="0.35">
      <c r="A15" s="90"/>
      <c r="D15" s="89"/>
      <c r="E15" s="83"/>
      <c r="F15" s="123"/>
      <c r="G15" s="125" t="str">
        <f>IF(NOT(AND(TP&gt;0, FN=0)), "Not ","") &amp; "Necessary"</f>
        <v>Not Necessary</v>
      </c>
      <c r="H15" s="186" t="str">
        <f>IF(NOT(AND(TP&gt;0, FP=0)),"Not ","") &amp; "Sufficient"</f>
        <v>Not Sufficient</v>
      </c>
      <c r="I15" s="187"/>
      <c r="J15" s="83"/>
      <c r="K15" s="89"/>
      <c r="L15" s="89"/>
      <c r="M15" s="118"/>
      <c r="N15" s="89"/>
      <c r="O15" s="89"/>
      <c r="P15" s="89"/>
      <c r="Q15" s="89"/>
      <c r="R15" s="89"/>
      <c r="S15" s="89"/>
      <c r="T15" s="89"/>
      <c r="U15" s="89"/>
      <c r="V15" s="89"/>
      <c r="W15" s="89"/>
      <c r="X15" s="89"/>
      <c r="Y15" s="89"/>
      <c r="Z15" s="89"/>
      <c r="AA15" s="89"/>
      <c r="AB15" s="89"/>
      <c r="AC15" s="89"/>
    </row>
    <row r="16" spans="1:29" ht="18" customHeight="1" thickBot="1" x14ac:dyDescent="0.35">
      <c r="A16" s="90"/>
      <c r="D16" s="89"/>
      <c r="E16" s="83"/>
      <c r="F16" s="123"/>
      <c r="G16" s="188" t="s">
        <v>64</v>
      </c>
      <c r="H16" s="188"/>
      <c r="I16" s="126" t="str">
        <f>TargetOutcome</f>
        <v>Present</v>
      </c>
      <c r="J16" s="83"/>
      <c r="K16" s="89"/>
      <c r="L16" s="89"/>
      <c r="M16" s="118"/>
      <c r="N16" s="89"/>
      <c r="O16" s="89"/>
      <c r="P16" s="89"/>
      <c r="Q16" s="89"/>
      <c r="R16" s="89"/>
      <c r="S16" s="89"/>
      <c r="T16" s="89"/>
      <c r="U16" s="89"/>
      <c r="V16" s="89"/>
      <c r="W16" s="89"/>
      <c r="X16" s="89"/>
      <c r="Y16" s="89"/>
      <c r="Z16" s="89"/>
      <c r="AA16" s="89"/>
      <c r="AB16" s="89"/>
      <c r="AC16" s="89"/>
    </row>
    <row r="17" spans="1:29" ht="18" customHeight="1" thickBot="1" x14ac:dyDescent="0.35">
      <c r="A17" s="90"/>
      <c r="D17" s="89"/>
      <c r="E17" s="83"/>
      <c r="F17" s="122"/>
      <c r="G17" s="122"/>
      <c r="H17" s="122"/>
      <c r="I17" s="122"/>
      <c r="J17" s="83"/>
      <c r="K17" s="89"/>
      <c r="L17" s="102" t="s">
        <v>292</v>
      </c>
      <c r="M17" s="118"/>
      <c r="N17" s="89"/>
      <c r="O17" s="89"/>
      <c r="P17" s="89"/>
      <c r="Q17" s="89"/>
      <c r="R17" s="89"/>
      <c r="S17" s="89"/>
      <c r="T17" s="89"/>
      <c r="U17" s="89"/>
      <c r="V17" s="89"/>
      <c r="W17" s="89"/>
      <c r="X17" s="89"/>
      <c r="Y17" s="89"/>
      <c r="Z17" s="89"/>
      <c r="AA17" s="89"/>
      <c r="AB17" s="89"/>
      <c r="AC17" s="89"/>
    </row>
    <row r="18" spans="1:29" ht="18" customHeight="1" thickTop="1" x14ac:dyDescent="0.3">
      <c r="A18" s="90"/>
      <c r="D18" s="89"/>
      <c r="E18" s="83"/>
      <c r="F18" s="122" t="s">
        <v>192</v>
      </c>
      <c r="G18" s="83"/>
      <c r="H18" s="83"/>
      <c r="I18" s="83"/>
      <c r="J18" s="127"/>
      <c r="K18" s="81"/>
      <c r="L18" s="81"/>
      <c r="M18" s="81"/>
      <c r="N18" s="89"/>
      <c r="O18" s="89"/>
      <c r="P18" s="89"/>
      <c r="Q18" s="89"/>
      <c r="R18" s="89"/>
      <c r="S18" s="89"/>
      <c r="T18" s="89"/>
      <c r="U18" s="89"/>
      <c r="V18" s="89"/>
      <c r="W18" s="89"/>
      <c r="X18" s="89"/>
      <c r="Y18" s="89"/>
      <c r="Z18" s="89"/>
      <c r="AA18" s="89"/>
      <c r="AB18" s="89"/>
      <c r="AC18" s="89"/>
    </row>
    <row r="19" spans="1:29" ht="18" customHeight="1" thickBot="1" x14ac:dyDescent="0.3">
      <c r="A19" s="90"/>
      <c r="D19" s="89"/>
      <c r="E19" s="83"/>
      <c r="F19" s="128" t="s">
        <v>44</v>
      </c>
      <c r="G19" s="185" t="s">
        <v>0</v>
      </c>
      <c r="H19" s="185"/>
      <c r="I19" s="129" t="e">
        <f ca="1">(TP+TN)/(TP+FP+FN+TN)+RandFactor*RANDBETWEEN(0,1000)</f>
        <v>#DIV/0!</v>
      </c>
      <c r="J19" s="127"/>
      <c r="K19" s="89"/>
      <c r="L19" s="89"/>
      <c r="M19" s="89"/>
      <c r="N19" s="89"/>
      <c r="O19" s="89"/>
      <c r="P19" s="89"/>
      <c r="Q19" s="89"/>
      <c r="R19" s="89"/>
      <c r="S19" s="89"/>
      <c r="T19" s="89"/>
      <c r="U19" s="89"/>
      <c r="V19" s="89"/>
      <c r="W19" s="89"/>
      <c r="X19" s="89"/>
      <c r="Y19" s="89"/>
      <c r="Z19" s="89"/>
      <c r="AA19" s="89"/>
      <c r="AB19" s="89"/>
      <c r="AC19" s="89"/>
    </row>
    <row r="20" spans="1:29" ht="18" customHeight="1" thickTop="1" thickBot="1" x14ac:dyDescent="0.3">
      <c r="A20" s="90"/>
      <c r="D20" s="89"/>
      <c r="E20" s="83"/>
      <c r="F20" s="128"/>
      <c r="G20" s="185" t="s">
        <v>190</v>
      </c>
      <c r="H20" s="185"/>
      <c r="I20" s="129" t="e">
        <f ca="1">(( TP/(TP+FN))+(TN/(TN+FP)))/2+RandFactor*RANDBETWEEN(0,1000)</f>
        <v>#DIV/0!</v>
      </c>
      <c r="J20" s="127"/>
      <c r="K20" s="89"/>
      <c r="L20" s="89"/>
      <c r="M20" s="89"/>
      <c r="N20" s="89"/>
      <c r="O20" s="89"/>
      <c r="P20" s="89"/>
      <c r="Q20" s="89"/>
      <c r="R20" s="89"/>
      <c r="S20" s="89"/>
      <c r="T20" s="89"/>
      <c r="U20" s="89"/>
      <c r="V20" s="89"/>
      <c r="W20" s="89"/>
      <c r="X20" s="89"/>
      <c r="Y20" s="89"/>
      <c r="Z20" s="89"/>
      <c r="AA20" s="89"/>
      <c r="AB20" s="89"/>
      <c r="AC20" s="89"/>
    </row>
    <row r="21" spans="1:29" ht="18" customHeight="1" thickTop="1" thickBot="1" x14ac:dyDescent="0.3">
      <c r="A21" s="90"/>
      <c r="D21" s="89"/>
      <c r="E21" s="83"/>
      <c r="F21" s="83"/>
      <c r="G21" s="185" t="s">
        <v>189</v>
      </c>
      <c r="H21" s="185"/>
      <c r="I21" s="129" t="e">
        <f ca="1">2*((Consistency*Coverage)/(Consistency+Coverage))+RandFactor*RANDBETWEEN(0,1000)</f>
        <v>#DIV/0!</v>
      </c>
      <c r="J21" s="127"/>
      <c r="K21" s="89"/>
      <c r="L21" s="89"/>
      <c r="M21" s="89"/>
      <c r="N21" s="89"/>
      <c r="O21" s="89"/>
      <c r="P21" s="89"/>
      <c r="Q21" s="89"/>
      <c r="R21" s="89"/>
      <c r="S21" s="89"/>
      <c r="T21" s="89"/>
      <c r="U21" s="89"/>
      <c r="V21" s="89"/>
      <c r="W21" s="89"/>
      <c r="X21" s="89"/>
      <c r="Y21" s="89"/>
      <c r="Z21" s="89"/>
      <c r="AA21" s="89"/>
      <c r="AB21" s="89"/>
      <c r="AC21" s="89"/>
    </row>
    <row r="22" spans="1:29" ht="18" customHeight="1" thickTop="1" thickBot="1" x14ac:dyDescent="0.3">
      <c r="A22" s="90"/>
      <c r="D22" s="89"/>
      <c r="E22" s="83"/>
      <c r="F22" s="83"/>
      <c r="G22" s="185" t="s">
        <v>254</v>
      </c>
      <c r="H22" s="185"/>
      <c r="I22" s="129" t="e">
        <f ca="1">(TP*TN -FP*FN)/SQRT((TP+FP)*(TP+FN)*(TN+FP)*(TN+FN))+RandFactor*RANDBETWEEN(0,1000)</f>
        <v>#DIV/0!</v>
      </c>
      <c r="J22" s="127"/>
      <c r="K22" s="89"/>
      <c r="L22" s="89"/>
      <c r="M22" s="89"/>
      <c r="N22" s="130"/>
      <c r="O22" s="130"/>
      <c r="P22" s="130"/>
      <c r="Q22" s="89"/>
      <c r="R22" s="89"/>
      <c r="S22" s="89"/>
      <c r="T22" s="89"/>
      <c r="U22" s="89"/>
      <c r="V22" s="89"/>
      <c r="W22" s="89"/>
      <c r="X22" s="89"/>
      <c r="Y22" s="89"/>
      <c r="Z22" s="89"/>
      <c r="AA22" s="89"/>
      <c r="AB22" s="89"/>
      <c r="AC22" s="89"/>
    </row>
    <row r="23" spans="1:29" ht="18" customHeight="1" thickTop="1" thickBot="1" x14ac:dyDescent="0.3">
      <c r="A23" s="90"/>
      <c r="D23" s="89"/>
      <c r="E23" s="83"/>
      <c r="F23" s="83"/>
      <c r="G23" s="163" t="s">
        <v>253</v>
      </c>
      <c r="H23" s="163"/>
      <c r="I23" s="129" t="e">
        <f ca="1">1 -(1-((FN/(FN+TN))^2)-((TN/(FN+TN))^2))*(FN+TN)/TotalCases - (1-((FP/(FP+TP))^2)-((TP/(FP+TP))^2)) * (TP+FP)/TotalCases+RandFactor*RANDBETWEEN(0,1000)</f>
        <v>#DIV/0!</v>
      </c>
      <c r="J23" s="127"/>
      <c r="K23" s="89"/>
      <c r="L23" s="89"/>
      <c r="M23" s="89"/>
      <c r="N23" s="130"/>
      <c r="O23" s="130"/>
      <c r="P23" s="130"/>
      <c r="Q23" s="89"/>
      <c r="R23" s="89"/>
      <c r="S23" s="89"/>
      <c r="T23" s="89"/>
      <c r="U23" s="89"/>
      <c r="V23" s="89"/>
      <c r="W23" s="89"/>
      <c r="X23" s="89"/>
      <c r="Y23" s="89"/>
      <c r="Z23" s="89"/>
      <c r="AA23" s="89"/>
      <c r="AB23" s="89"/>
      <c r="AC23" s="89"/>
    </row>
    <row r="24" spans="1:29" s="58" customFormat="1" ht="18" customHeight="1" thickTop="1" x14ac:dyDescent="0.25">
      <c r="A24" s="131"/>
      <c r="B24" s="48"/>
      <c r="C24" s="48"/>
      <c r="D24" s="132"/>
      <c r="E24" s="133"/>
      <c r="F24" s="133"/>
      <c r="G24" s="133"/>
      <c r="H24" s="133"/>
      <c r="I24" s="133"/>
      <c r="J24" s="127"/>
      <c r="K24" s="132"/>
      <c r="L24" s="132"/>
      <c r="M24" s="134"/>
      <c r="N24" s="135"/>
      <c r="O24" s="135"/>
      <c r="P24" s="135"/>
      <c r="Q24" s="132"/>
      <c r="R24" s="132"/>
      <c r="S24" s="132"/>
      <c r="T24" s="132"/>
      <c r="U24" s="132"/>
      <c r="V24" s="132"/>
      <c r="W24" s="132"/>
      <c r="X24" s="132"/>
      <c r="Y24" s="132"/>
      <c r="Z24" s="132"/>
      <c r="AA24" s="132"/>
      <c r="AB24" s="132"/>
      <c r="AC24" s="132"/>
    </row>
    <row r="25" spans="1:29" ht="18" customHeight="1" thickBot="1" x14ac:dyDescent="0.3">
      <c r="A25" s="90"/>
      <c r="D25" s="89"/>
      <c r="E25" s="83"/>
      <c r="F25" s="136" t="s">
        <v>45</v>
      </c>
      <c r="G25" s="185" t="s">
        <v>308</v>
      </c>
      <c r="H25" s="185"/>
      <c r="I25" s="129" t="e">
        <f ca="1">TP/(TP+FN)+RandFactor*RANDBETWEEN(0,1000)</f>
        <v>#DIV/0!</v>
      </c>
      <c r="J25" s="127"/>
      <c r="K25" s="89"/>
      <c r="L25" s="89"/>
      <c r="M25" s="137"/>
      <c r="N25" s="89"/>
      <c r="O25" s="89"/>
      <c r="P25" s="89"/>
      <c r="Q25" s="89"/>
      <c r="R25" s="89"/>
      <c r="S25" s="89"/>
      <c r="T25" s="89"/>
      <c r="U25" s="89"/>
      <c r="V25" s="89"/>
      <c r="W25" s="89"/>
      <c r="X25" s="89"/>
      <c r="Y25" s="89"/>
      <c r="Z25" s="89"/>
      <c r="AA25" s="89"/>
      <c r="AB25" s="89"/>
      <c r="AC25" s="89"/>
    </row>
    <row r="26" spans="1:29" ht="18" customHeight="1" thickTop="1" thickBot="1" x14ac:dyDescent="0.3">
      <c r="A26" s="89"/>
      <c r="D26" s="89"/>
      <c r="E26" s="83"/>
      <c r="F26" s="83"/>
      <c r="G26" s="185" t="s">
        <v>309</v>
      </c>
      <c r="H26" s="185"/>
      <c r="I26" s="129" t="e">
        <f ca="1">TP/(TP+FP)+RandFactor*RANDBETWEEN(0,1000)</f>
        <v>#DIV/0!</v>
      </c>
      <c r="J26" s="127"/>
      <c r="K26" s="89"/>
      <c r="L26" s="137"/>
      <c r="M26" s="137"/>
      <c r="N26" s="137"/>
      <c r="O26" s="89"/>
      <c r="P26" s="89"/>
      <c r="Q26" s="89"/>
      <c r="R26" s="89"/>
      <c r="S26" s="89"/>
      <c r="T26" s="89"/>
      <c r="U26" s="89"/>
      <c r="V26" s="89"/>
      <c r="W26" s="89"/>
      <c r="X26" s="89"/>
      <c r="Y26" s="89"/>
      <c r="Z26" s="89"/>
      <c r="AA26" s="89"/>
      <c r="AB26" s="89"/>
      <c r="AC26" s="89"/>
    </row>
    <row r="27" spans="1:29" ht="18" customHeight="1" thickTop="1" x14ac:dyDescent="0.25">
      <c r="A27" s="89"/>
      <c r="D27" s="89"/>
      <c r="E27" s="83"/>
      <c r="F27" s="83"/>
      <c r="G27" s="83"/>
      <c r="H27" s="83"/>
      <c r="I27" s="83"/>
      <c r="J27" s="127"/>
      <c r="K27" s="89"/>
      <c r="L27" s="137"/>
      <c r="M27" s="137"/>
      <c r="N27" s="137"/>
      <c r="O27" s="89"/>
      <c r="P27" s="89"/>
      <c r="Q27" s="89"/>
      <c r="R27" s="89"/>
      <c r="S27" s="89"/>
      <c r="T27" s="89"/>
      <c r="U27" s="89"/>
      <c r="V27" s="89"/>
      <c r="W27" s="89"/>
      <c r="X27" s="89"/>
      <c r="Y27" s="89"/>
      <c r="Z27" s="89"/>
      <c r="AA27" s="89"/>
      <c r="AB27" s="89"/>
      <c r="AC27" s="89"/>
    </row>
    <row r="28" spans="1:29" ht="18" customHeight="1" thickBot="1" x14ac:dyDescent="0.3">
      <c r="A28" s="89"/>
      <c r="D28" s="89"/>
      <c r="E28" s="83"/>
      <c r="F28" s="136" t="s">
        <v>46</v>
      </c>
      <c r="G28" s="185" t="s">
        <v>4</v>
      </c>
      <c r="H28" s="185"/>
      <c r="I28" s="129" t="e">
        <f ca="1">(TP/(TP+FP))/ ((TP+FN)/(TP+FP+FN+TN))+RandFactor*RANDBETWEEN(0,1000)</f>
        <v>#DIV/0!</v>
      </c>
      <c r="J28" s="83"/>
      <c r="K28" s="89"/>
      <c r="L28" s="137"/>
      <c r="M28" s="137"/>
      <c r="N28" s="137"/>
      <c r="O28" s="89"/>
      <c r="P28" s="89"/>
      <c r="Q28" s="89"/>
      <c r="R28" s="89"/>
      <c r="S28" s="89"/>
      <c r="T28" s="89"/>
      <c r="U28" s="89"/>
      <c r="V28" s="89"/>
      <c r="W28" s="89"/>
      <c r="X28" s="89"/>
      <c r="Y28" s="89"/>
      <c r="Z28" s="89"/>
      <c r="AA28" s="89"/>
      <c r="AB28" s="89"/>
      <c r="AC28" s="89"/>
    </row>
    <row r="29" spans="1:29" ht="18" customHeight="1" thickTop="1" thickBot="1" x14ac:dyDescent="0.3">
      <c r="A29" s="89"/>
      <c r="D29" s="89"/>
      <c r="E29" s="83"/>
      <c r="F29" s="83"/>
      <c r="G29" s="185" t="s">
        <v>23</v>
      </c>
      <c r="H29" s="185"/>
      <c r="I29" s="129" t="e">
        <f ca="1">(FP+TN)/ (TP+FP+FN+TN)+RandFactor*RANDBETWEEN(0,1000)</f>
        <v>#DIV/0!</v>
      </c>
      <c r="J29" s="83"/>
      <c r="K29" s="89"/>
      <c r="L29" s="137"/>
      <c r="M29" s="137"/>
      <c r="N29" s="137"/>
      <c r="O29" s="89"/>
      <c r="P29" s="89"/>
      <c r="Q29" s="89"/>
      <c r="R29" s="89"/>
      <c r="S29" s="89"/>
      <c r="T29" s="89"/>
      <c r="U29" s="89"/>
      <c r="V29" s="89"/>
      <c r="W29" s="89"/>
      <c r="X29" s="89"/>
      <c r="Y29" s="89"/>
      <c r="Z29" s="89"/>
      <c r="AA29" s="89"/>
      <c r="AB29" s="89"/>
      <c r="AC29" s="89"/>
    </row>
    <row r="30" spans="1:29" ht="18" customHeight="1" thickTop="1" thickBot="1" x14ac:dyDescent="0.3">
      <c r="A30" s="89"/>
      <c r="D30" s="89"/>
      <c r="E30" s="83"/>
      <c r="F30" s="83"/>
      <c r="G30" s="185" t="s">
        <v>24</v>
      </c>
      <c r="H30" s="185"/>
      <c r="I30" s="129" t="e">
        <f ca="1">(TP/(TP+FN))/(FP/(FP+TN))+RandFactor*RANDBETWEEN(0,1000)</f>
        <v>#DIV/0!</v>
      </c>
      <c r="J30" s="83"/>
      <c r="K30" s="89"/>
      <c r="L30" s="137"/>
      <c r="M30" s="137"/>
      <c r="N30" s="89"/>
      <c r="O30" s="89"/>
      <c r="P30" s="89"/>
      <c r="Q30" s="89"/>
      <c r="R30" s="89"/>
      <c r="S30" s="89"/>
      <c r="T30" s="89"/>
      <c r="U30" s="89"/>
      <c r="V30" s="89"/>
      <c r="W30" s="89"/>
      <c r="X30" s="89"/>
      <c r="Y30" s="89"/>
      <c r="Z30" s="89"/>
      <c r="AA30" s="89"/>
      <c r="AB30" s="89"/>
      <c r="AC30" s="89"/>
    </row>
    <row r="31" spans="1:29" ht="18" customHeight="1" thickTop="1" x14ac:dyDescent="0.25">
      <c r="A31" s="89"/>
      <c r="D31" s="89"/>
      <c r="E31" s="83"/>
      <c r="F31" s="83"/>
      <c r="G31" s="83"/>
      <c r="H31" s="83"/>
      <c r="I31" s="83"/>
      <c r="J31" s="83"/>
      <c r="K31" s="89"/>
      <c r="L31" s="137"/>
      <c r="M31" s="137"/>
      <c r="N31" s="89"/>
      <c r="O31" s="89"/>
      <c r="P31" s="89"/>
      <c r="Q31" s="89"/>
      <c r="R31" s="89"/>
      <c r="S31" s="89"/>
      <c r="T31" s="89"/>
      <c r="U31" s="89"/>
      <c r="V31" s="89"/>
      <c r="W31" s="89"/>
      <c r="X31" s="89"/>
      <c r="Y31" s="89"/>
      <c r="Z31" s="89"/>
      <c r="AA31" s="89"/>
      <c r="AB31" s="89"/>
      <c r="AC31" s="89"/>
    </row>
    <row r="32" spans="1:29" ht="18" customHeight="1" thickBot="1" x14ac:dyDescent="0.3">
      <c r="A32" s="89"/>
      <c r="D32" s="89"/>
      <c r="E32" s="83"/>
      <c r="F32" s="136" t="s">
        <v>193</v>
      </c>
      <c r="G32" s="185" t="s">
        <v>194</v>
      </c>
      <c r="H32" s="185"/>
      <c r="I32" s="68"/>
      <c r="J32" s="83"/>
      <c r="K32" s="89"/>
      <c r="L32" s="137"/>
      <c r="M32" s="137"/>
      <c r="N32" s="89"/>
      <c r="O32" s="89"/>
      <c r="P32" s="89"/>
      <c r="Q32" s="89"/>
      <c r="R32" s="89"/>
      <c r="S32" s="89"/>
      <c r="T32" s="89"/>
      <c r="U32" s="89"/>
      <c r="V32" s="89"/>
      <c r="W32" s="89"/>
      <c r="X32" s="89"/>
      <c r="Y32" s="89"/>
      <c r="Z32" s="89"/>
      <c r="AA32" s="89"/>
      <c r="AB32" s="89"/>
      <c r="AC32" s="89"/>
    </row>
    <row r="33" spans="1:29" ht="18" customHeight="1" thickTop="1" x14ac:dyDescent="0.25">
      <c r="A33" s="89"/>
      <c r="D33" s="89"/>
      <c r="E33" s="83"/>
      <c r="F33" s="83"/>
      <c r="G33" s="83"/>
      <c r="H33" s="83"/>
      <c r="I33" s="83"/>
      <c r="J33" s="83"/>
      <c r="K33" s="89"/>
      <c r="L33" s="137"/>
      <c r="M33" s="137"/>
      <c r="N33" s="89"/>
      <c r="O33" s="89"/>
      <c r="P33" s="89"/>
      <c r="Q33" s="89"/>
      <c r="R33" s="89"/>
      <c r="S33" s="89"/>
      <c r="T33" s="89"/>
      <c r="U33" s="89"/>
      <c r="V33" s="89"/>
      <c r="W33" s="89"/>
      <c r="X33" s="89"/>
      <c r="Y33" s="89"/>
      <c r="Z33" s="89"/>
      <c r="AA33" s="89"/>
      <c r="AB33" s="89"/>
      <c r="AC33" s="89"/>
    </row>
    <row r="34" spans="1:29" ht="18" customHeight="1" x14ac:dyDescent="0.25">
      <c r="A34" s="89"/>
      <c r="D34" s="89"/>
      <c r="E34" s="83"/>
      <c r="F34" s="83"/>
      <c r="G34" s="83"/>
      <c r="H34" s="83"/>
      <c r="I34" s="83"/>
      <c r="J34" s="83"/>
      <c r="K34" s="89"/>
      <c r="L34" s="89"/>
      <c r="M34" s="137"/>
      <c r="N34" s="89"/>
      <c r="O34" s="89"/>
      <c r="P34" s="89"/>
      <c r="Q34" s="89"/>
      <c r="R34" s="89"/>
      <c r="S34" s="89"/>
      <c r="T34" s="89"/>
      <c r="U34" s="89"/>
      <c r="V34" s="89"/>
      <c r="W34" s="89"/>
      <c r="X34" s="89"/>
      <c r="Y34" s="89"/>
      <c r="Z34" s="89"/>
      <c r="AA34" s="89"/>
      <c r="AB34" s="89"/>
      <c r="AC34" s="89"/>
    </row>
    <row r="35" spans="1:29" ht="18" customHeight="1" x14ac:dyDescent="0.25">
      <c r="A35" s="89"/>
      <c r="D35" s="89"/>
      <c r="E35" s="83"/>
      <c r="F35" s="83"/>
      <c r="G35" s="83"/>
      <c r="H35" s="83"/>
      <c r="I35" s="83"/>
      <c r="J35" s="83"/>
      <c r="K35" s="89"/>
      <c r="L35" s="137"/>
      <c r="M35" s="137"/>
      <c r="N35" s="89"/>
      <c r="O35" s="89"/>
      <c r="P35" s="89"/>
      <c r="Q35" s="89"/>
      <c r="R35" s="89"/>
      <c r="S35" s="89"/>
      <c r="T35" s="89"/>
      <c r="U35" s="89"/>
      <c r="V35" s="89"/>
      <c r="W35" s="89"/>
      <c r="X35" s="89"/>
      <c r="Y35" s="89"/>
      <c r="Z35" s="89"/>
      <c r="AA35" s="89"/>
      <c r="AB35" s="89"/>
      <c r="AC35" s="89"/>
    </row>
    <row r="36" spans="1:29" ht="18" customHeight="1" thickBot="1" x14ac:dyDescent="0.3">
      <c r="A36" s="89"/>
      <c r="D36" s="89"/>
      <c r="E36" s="83"/>
      <c r="F36" s="83"/>
      <c r="G36" s="83"/>
      <c r="H36" s="83"/>
      <c r="I36" s="83"/>
      <c r="J36" s="138"/>
      <c r="K36" s="89"/>
      <c r="L36" s="137"/>
      <c r="M36" s="137"/>
      <c r="N36" s="89"/>
      <c r="O36" s="89"/>
      <c r="P36" s="89"/>
      <c r="Q36" s="89"/>
      <c r="R36" s="89" t="s">
        <v>195</v>
      </c>
      <c r="S36" s="89"/>
      <c r="T36" s="89"/>
      <c r="U36" s="89"/>
      <c r="V36" s="89"/>
      <c r="W36" s="89"/>
      <c r="X36" s="89"/>
      <c r="Y36" s="89"/>
      <c r="Z36" s="89"/>
      <c r="AA36" s="89"/>
      <c r="AB36" s="89"/>
      <c r="AC36" s="89"/>
    </row>
    <row r="37" spans="1:29" ht="18" customHeight="1" thickTop="1" x14ac:dyDescent="0.25">
      <c r="A37" s="89"/>
      <c r="D37" s="89"/>
      <c r="E37" s="83"/>
      <c r="F37" s="83"/>
      <c r="G37" s="83"/>
      <c r="H37" s="83"/>
      <c r="I37" s="83"/>
      <c r="J37" s="83"/>
      <c r="K37" s="89"/>
      <c r="L37" s="137"/>
      <c r="M37" s="137"/>
      <c r="N37" s="89"/>
      <c r="O37" s="89"/>
      <c r="P37" s="89"/>
      <c r="Q37" s="89"/>
      <c r="R37" s="89"/>
      <c r="S37" s="89"/>
      <c r="T37" s="89"/>
      <c r="U37" s="89"/>
      <c r="V37" s="89"/>
      <c r="W37" s="89"/>
      <c r="X37" s="89"/>
      <c r="Y37" s="89"/>
      <c r="Z37" s="89"/>
      <c r="AA37" s="89"/>
      <c r="AB37" s="89"/>
      <c r="AC37" s="89"/>
    </row>
    <row r="38" spans="1:29" ht="18" customHeight="1" x14ac:dyDescent="0.25">
      <c r="A38" s="89"/>
      <c r="D38" s="89"/>
      <c r="E38" s="83"/>
      <c r="F38" s="83"/>
      <c r="G38" s="83"/>
      <c r="H38" s="83"/>
      <c r="I38" s="139">
        <f>MAX(IFERROR(COUNTIF(#REF!,"")/(ROWS(#REF!)*(COLUMNS(#REF!)-2)),0),0)</f>
        <v>0</v>
      </c>
      <c r="J38" s="83"/>
      <c r="K38" s="89"/>
      <c r="L38" s="137"/>
      <c r="M38" s="137"/>
      <c r="N38" s="89"/>
      <c r="O38" s="89"/>
      <c r="P38" s="89"/>
      <c r="Q38" s="89"/>
      <c r="R38" s="89"/>
      <c r="S38" s="89"/>
      <c r="T38" s="89"/>
      <c r="U38" s="89"/>
      <c r="V38" s="89"/>
      <c r="W38" s="89"/>
      <c r="X38" s="89"/>
      <c r="Y38" s="89"/>
      <c r="Z38" s="89"/>
      <c r="AA38" s="89"/>
      <c r="AB38" s="89"/>
      <c r="AC38" s="89"/>
    </row>
    <row r="39" spans="1:29" ht="18" customHeight="1" x14ac:dyDescent="0.25">
      <c r="A39" s="89"/>
      <c r="D39" s="89"/>
      <c r="E39" s="83"/>
      <c r="F39" s="83"/>
      <c r="G39" s="83"/>
      <c r="H39" s="83"/>
      <c r="I39" s="83"/>
      <c r="J39" s="83"/>
      <c r="K39" s="89"/>
      <c r="L39" s="137"/>
      <c r="M39" s="137"/>
      <c r="N39" s="89"/>
      <c r="O39" s="89"/>
      <c r="P39" s="89"/>
      <c r="Q39" s="89"/>
      <c r="R39" s="89"/>
      <c r="S39" s="89"/>
      <c r="T39" s="89"/>
      <c r="U39" s="89"/>
      <c r="V39" s="89"/>
      <c r="W39" s="89"/>
      <c r="X39" s="89"/>
      <c r="Y39" s="89"/>
      <c r="Z39" s="89"/>
      <c r="AA39" s="89"/>
      <c r="AB39" s="89"/>
      <c r="AC39" s="89"/>
    </row>
    <row r="40" spans="1:29" ht="18" customHeight="1" x14ac:dyDescent="0.25">
      <c r="A40" s="89"/>
      <c r="D40" s="89"/>
      <c r="E40" s="83"/>
      <c r="F40" s="83"/>
      <c r="G40" s="83"/>
      <c r="H40" s="83"/>
      <c r="I40" s="83"/>
      <c r="J40" s="83"/>
      <c r="K40" s="89"/>
      <c r="L40" s="137"/>
      <c r="M40" s="137"/>
      <c r="N40" s="89"/>
      <c r="O40" s="89"/>
      <c r="P40" s="89"/>
      <c r="Q40" s="89"/>
      <c r="R40" s="89"/>
      <c r="S40" s="89"/>
      <c r="T40" s="89"/>
      <c r="U40" s="89"/>
      <c r="V40" s="89"/>
      <c r="W40" s="89"/>
      <c r="X40" s="89"/>
      <c r="Y40" s="89"/>
      <c r="Z40" s="89"/>
      <c r="AA40" s="89"/>
      <c r="AB40" s="89"/>
      <c r="AC40" s="89"/>
    </row>
    <row r="41" spans="1:29" ht="18" customHeight="1" x14ac:dyDescent="0.25">
      <c r="A41" s="89"/>
      <c r="D41" s="89"/>
      <c r="E41" s="83"/>
      <c r="F41" s="83"/>
      <c r="G41" s="83"/>
      <c r="H41" s="83"/>
      <c r="I41" s="83"/>
      <c r="J41" s="83"/>
      <c r="K41" s="89"/>
      <c r="L41" s="137"/>
      <c r="M41" s="137"/>
      <c r="N41" s="89"/>
      <c r="O41" s="89"/>
      <c r="P41" s="89"/>
      <c r="Q41" s="89"/>
      <c r="R41" s="89"/>
      <c r="S41" s="89"/>
      <c r="T41" s="89"/>
      <c r="U41" s="89"/>
      <c r="V41" s="89"/>
      <c r="W41" s="89"/>
      <c r="X41" s="89"/>
      <c r="Y41" s="89"/>
      <c r="Z41" s="89"/>
      <c r="AA41" s="89"/>
      <c r="AB41" s="89"/>
      <c r="AC41" s="89"/>
    </row>
    <row r="42" spans="1:29" ht="18" customHeight="1" x14ac:dyDescent="0.25">
      <c r="A42" s="89"/>
      <c r="D42" s="89"/>
      <c r="E42" s="83"/>
      <c r="F42" s="83"/>
      <c r="G42" s="83"/>
      <c r="H42" s="83"/>
      <c r="I42" s="83"/>
      <c r="J42" s="83"/>
      <c r="K42" s="89"/>
      <c r="L42" s="137"/>
      <c r="M42" s="137"/>
      <c r="N42" s="89"/>
      <c r="O42" s="89"/>
      <c r="P42" s="89"/>
      <c r="Q42" s="89"/>
      <c r="R42" s="89"/>
      <c r="S42" s="89"/>
      <c r="T42" s="89"/>
      <c r="U42" s="89"/>
      <c r="V42" s="89"/>
      <c r="W42" s="89"/>
      <c r="X42" s="89"/>
      <c r="Y42" s="89"/>
      <c r="Z42" s="89"/>
      <c r="AA42" s="89"/>
      <c r="AB42" s="89"/>
      <c r="AC42" s="89"/>
    </row>
    <row r="43" spans="1:29" ht="18" customHeight="1" x14ac:dyDescent="0.25">
      <c r="A43" s="89"/>
      <c r="D43" s="89"/>
      <c r="E43" s="83"/>
      <c r="F43" s="83"/>
      <c r="G43" s="83"/>
      <c r="H43" s="83"/>
      <c r="I43" s="83"/>
      <c r="J43" s="83"/>
      <c r="K43" s="89"/>
      <c r="L43" s="137"/>
      <c r="M43" s="137"/>
      <c r="N43" s="89"/>
      <c r="O43" s="89"/>
      <c r="P43" s="89"/>
      <c r="Q43" s="89"/>
      <c r="R43" s="89"/>
      <c r="S43" s="89"/>
      <c r="T43" s="89"/>
      <c r="U43" s="89"/>
      <c r="V43" s="89"/>
      <c r="W43" s="89"/>
      <c r="X43" s="89"/>
      <c r="Y43" s="89"/>
      <c r="Z43" s="89"/>
      <c r="AA43" s="89"/>
      <c r="AB43" s="89"/>
      <c r="AC43" s="89"/>
    </row>
    <row r="44" spans="1:29" ht="18" customHeight="1" x14ac:dyDescent="0.25">
      <c r="A44" s="89"/>
      <c r="D44" s="89"/>
      <c r="E44" s="83"/>
      <c r="F44" s="83"/>
      <c r="G44" s="83"/>
      <c r="H44" s="83"/>
      <c r="I44" s="83"/>
      <c r="J44" s="83"/>
      <c r="K44" s="89"/>
      <c r="L44" s="137"/>
      <c r="M44" s="137"/>
      <c r="N44" s="89"/>
      <c r="O44" s="89"/>
      <c r="P44" s="89"/>
      <c r="Q44" s="89"/>
      <c r="R44" s="89"/>
      <c r="S44" s="89"/>
      <c r="T44" s="89"/>
      <c r="U44" s="89"/>
      <c r="V44" s="89"/>
      <c r="W44" s="89"/>
      <c r="X44" s="89"/>
      <c r="Y44" s="89"/>
      <c r="Z44" s="89"/>
      <c r="AA44" s="89"/>
      <c r="AB44" s="89"/>
      <c r="AC44" s="89"/>
    </row>
    <row r="45" spans="1:29" ht="18" customHeight="1" x14ac:dyDescent="0.25">
      <c r="A45" s="89"/>
      <c r="D45" s="89"/>
      <c r="E45" s="83"/>
      <c r="F45" s="83"/>
      <c r="G45" s="83"/>
      <c r="H45" s="83"/>
      <c r="I45" s="83"/>
      <c r="J45" s="83"/>
      <c r="K45" s="89"/>
      <c r="L45" s="137"/>
      <c r="M45" s="137"/>
      <c r="N45" s="89"/>
      <c r="O45" s="89"/>
      <c r="P45" s="89"/>
      <c r="Q45" s="89"/>
      <c r="R45" s="89"/>
      <c r="S45" s="89"/>
      <c r="T45" s="89"/>
      <c r="U45" s="89"/>
      <c r="V45" s="89"/>
      <c r="W45" s="89"/>
      <c r="X45" s="89"/>
      <c r="Y45" s="89"/>
      <c r="Z45" s="89"/>
      <c r="AA45" s="89"/>
      <c r="AB45" s="89"/>
      <c r="AC45" s="89"/>
    </row>
    <row r="46" spans="1:29" ht="18" customHeight="1" x14ac:dyDescent="0.25">
      <c r="A46" s="89"/>
      <c r="D46" s="89"/>
      <c r="E46" s="83"/>
      <c r="F46" s="83"/>
      <c r="G46" s="83"/>
      <c r="H46" s="83"/>
      <c r="I46" s="83"/>
      <c r="J46" s="83"/>
      <c r="K46" s="89"/>
      <c r="L46" s="137"/>
      <c r="M46" s="137"/>
      <c r="N46" s="89"/>
      <c r="O46" s="89"/>
      <c r="P46" s="89"/>
      <c r="Q46" s="89"/>
      <c r="R46" s="89"/>
      <c r="S46" s="89"/>
      <c r="T46" s="89"/>
      <c r="U46" s="89"/>
      <c r="V46" s="89"/>
      <c r="W46" s="89"/>
      <c r="X46" s="89"/>
      <c r="Y46" s="89"/>
      <c r="Z46" s="89"/>
      <c r="AA46" s="89"/>
      <c r="AB46" s="89"/>
      <c r="AC46" s="89"/>
    </row>
    <row r="47" spans="1:29" ht="18" customHeight="1" x14ac:dyDescent="0.25">
      <c r="A47" s="89"/>
      <c r="D47" s="89"/>
      <c r="E47" s="83"/>
      <c r="F47" s="83"/>
      <c r="G47" s="83"/>
      <c r="H47" s="83"/>
      <c r="I47" s="83"/>
      <c r="J47" s="83"/>
      <c r="K47" s="89"/>
      <c r="L47" s="137"/>
      <c r="M47" s="137"/>
      <c r="N47" s="89"/>
      <c r="O47" s="89"/>
      <c r="P47" s="89"/>
      <c r="Q47" s="89"/>
      <c r="R47" s="89"/>
      <c r="S47" s="89"/>
      <c r="T47" s="89"/>
      <c r="U47" s="89"/>
      <c r="V47" s="89"/>
      <c r="W47" s="89"/>
      <c r="X47" s="89"/>
      <c r="Y47" s="89"/>
      <c r="Z47" s="89"/>
      <c r="AA47" s="89"/>
      <c r="AB47" s="89"/>
      <c r="AC47" s="89"/>
    </row>
  </sheetData>
  <sheetProtection sheet="1" objects="1" scenarios="1"/>
  <dataConsolidate/>
  <mergeCells count="13">
    <mergeCell ref="B4:J4"/>
    <mergeCell ref="G26:H26"/>
    <mergeCell ref="G32:H32"/>
    <mergeCell ref="G22:H22"/>
    <mergeCell ref="H15:I15"/>
    <mergeCell ref="G16:H16"/>
    <mergeCell ref="G19:H19"/>
    <mergeCell ref="G20:H20"/>
    <mergeCell ref="G21:H21"/>
    <mergeCell ref="G29:H29"/>
    <mergeCell ref="G30:H30"/>
    <mergeCell ref="G28:H28"/>
    <mergeCell ref="G25:H25"/>
  </mergeCells>
  <dataValidations xWindow="470" yWindow="236" count="2">
    <dataValidation type="list" allowBlank="1" showInputMessage="1" showErrorMessage="1" sqref="C9:C11" xr:uid="{00000000-0002-0000-0500-000000000000}">
      <formula1>INDIRECT("Internal!PresentOrAbsent")</formula1>
    </dataValidation>
    <dataValidation type="list" allowBlank="1" showInputMessage="1" showErrorMessage="1" errorTitle="EC3 Error" error="Select one of the available values" promptTitle="Model configuration" sqref="C12" xr:uid="{909E0E1C-F0EF-43D9-BA49-95B06B7E0D7B}">
      <formula1>ModelConfigOptions</formula1>
    </dataValidation>
  </dataValidations>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B1:AM1960"/>
  <sheetViews>
    <sheetView zoomScaleNormal="100" workbookViewId="0">
      <pane xSplit="3" ySplit="8" topLeftCell="D9" activePane="bottomRight" state="frozen"/>
      <selection pane="topRight" activeCell="D1" sqref="D1"/>
      <selection pane="bottomLeft" activeCell="A9" sqref="A9"/>
      <selection pane="bottomRight" activeCell="D9" sqref="D9"/>
    </sheetView>
  </sheetViews>
  <sheetFormatPr defaultColWidth="9.140625" defaultRowHeight="15" x14ac:dyDescent="0.25"/>
  <cols>
    <col min="1" max="1" width="7.42578125" style="48" customWidth="1"/>
    <col min="2" max="2" width="11" style="48" customWidth="1"/>
    <col min="3" max="3" width="32.7109375" style="48" bestFit="1" customWidth="1"/>
    <col min="4" max="4" width="13.140625" style="48" bestFit="1" customWidth="1"/>
    <col min="5" max="5" width="7.5703125" style="48" bestFit="1" customWidth="1"/>
    <col min="6" max="6" width="11.85546875" style="48" bestFit="1" customWidth="1"/>
    <col min="7" max="7" width="17.28515625" style="48" bestFit="1" customWidth="1"/>
    <col min="8" max="8" width="11" style="48" bestFit="1" customWidth="1"/>
    <col min="9" max="9" width="20.28515625" style="48" bestFit="1" customWidth="1"/>
    <col min="10" max="10" width="10.140625" style="48" bestFit="1" customWidth="1"/>
    <col min="11" max="11" width="7.42578125" style="48" bestFit="1" customWidth="1"/>
    <col min="12" max="12" width="13" style="48" bestFit="1" customWidth="1"/>
    <col min="13" max="13" width="11.5703125" style="48" bestFit="1" customWidth="1"/>
    <col min="14" max="14" width="13.85546875" style="48" bestFit="1" customWidth="1"/>
    <col min="15" max="15" width="6.140625" style="48" bestFit="1" customWidth="1"/>
    <col min="16" max="16" width="17.42578125" style="48" bestFit="1" customWidth="1"/>
    <col min="17" max="17" width="18.28515625" style="48" bestFit="1" customWidth="1"/>
    <col min="18" max="18" width="15.7109375" style="48" bestFit="1" customWidth="1"/>
    <col min="19" max="19" width="17.85546875" style="48" bestFit="1" customWidth="1"/>
    <col min="20" max="20" width="9.5703125" style="48" bestFit="1" customWidth="1"/>
    <col min="21" max="21" width="17.7109375" style="48" bestFit="1" customWidth="1"/>
    <col min="22" max="22" width="29.85546875" style="48" bestFit="1" customWidth="1"/>
    <col min="23" max="23" width="23" style="48" bestFit="1" customWidth="1"/>
    <col min="24" max="26" width="8.7109375" style="48" bestFit="1" customWidth="1"/>
    <col min="27" max="27" width="8.28515625" style="48" bestFit="1" customWidth="1"/>
    <col min="28" max="28" width="6" style="48" bestFit="1" customWidth="1"/>
    <col min="29" max="36" width="12.140625" style="48" bestFit="1" customWidth="1"/>
    <col min="37" max="37" width="17.140625" style="48" bestFit="1" customWidth="1"/>
    <col min="38" max="38" width="22.140625" style="48" bestFit="1" customWidth="1"/>
    <col min="39" max="39" width="37" style="48" bestFit="1" customWidth="1"/>
    <col min="40" max="40" width="15" style="48" bestFit="1" customWidth="1"/>
    <col min="41" max="41" width="19.7109375" style="48" bestFit="1" customWidth="1"/>
    <col min="42" max="42" width="34.28515625" style="48" bestFit="1" customWidth="1"/>
    <col min="43" max="43" width="12.85546875" style="48" bestFit="1" customWidth="1"/>
    <col min="44" max="44" width="20.7109375" style="48" bestFit="1" customWidth="1"/>
    <col min="45" max="45" width="26" style="48" bestFit="1" customWidth="1"/>
    <col min="46" max="46" width="20.140625" style="48" bestFit="1" customWidth="1"/>
    <col min="47" max="47" width="14.42578125" style="48" bestFit="1" customWidth="1"/>
    <col min="48" max="48" width="44.7109375" style="48" bestFit="1" customWidth="1"/>
    <col min="49" max="49" width="13" style="48" bestFit="1" customWidth="1"/>
    <col min="50" max="50" width="8.85546875" style="48" bestFit="1" customWidth="1"/>
    <col min="51" max="51" width="32.140625" style="48" bestFit="1" customWidth="1"/>
    <col min="52" max="64" width="8.42578125" style="48" bestFit="1" customWidth="1"/>
    <col min="65" max="67" width="9.42578125" style="48" bestFit="1" customWidth="1"/>
    <col min="68" max="76" width="8.42578125" style="48" bestFit="1" customWidth="1"/>
    <col min="77" max="82" width="9.42578125" style="48" bestFit="1" customWidth="1"/>
    <col min="83" max="91" width="10.28515625" style="48" bestFit="1" customWidth="1"/>
    <col min="92" max="97" width="11.42578125" style="48" bestFit="1" customWidth="1"/>
    <col min="98" max="106" width="10.28515625" style="48" bestFit="1" customWidth="1"/>
    <col min="107" max="112" width="11.42578125" style="48" bestFit="1" customWidth="1"/>
    <col min="113" max="121" width="8.42578125" style="48" bestFit="1" customWidth="1"/>
    <col min="122" max="127" width="9.42578125" style="48" bestFit="1" customWidth="1"/>
    <col min="128" max="136" width="8.42578125" style="48" bestFit="1" customWidth="1"/>
    <col min="137" max="145" width="9.42578125" style="48" bestFit="1" customWidth="1"/>
    <col min="146" max="16384" width="9.140625" style="48"/>
  </cols>
  <sheetData>
    <row r="1" spans="3:3" s="46" customFormat="1" ht="60" customHeight="1" x14ac:dyDescent="0.25"/>
    <row r="2" spans="3:3" s="47" customFormat="1" ht="24.95" customHeight="1" x14ac:dyDescent="0.25"/>
    <row r="3" spans="3:3" s="66" customFormat="1" ht="3.75" customHeight="1" x14ac:dyDescent="0.25"/>
    <row r="4" spans="3:3" s="66" customFormat="1" x14ac:dyDescent="0.25">
      <c r="C4" s="70"/>
    </row>
    <row r="5" spans="3:3" s="66" customFormat="1" ht="3" customHeight="1" x14ac:dyDescent="0.25"/>
    <row r="22" spans="2:2" x14ac:dyDescent="0.25">
      <c r="B22" s="72"/>
    </row>
    <row r="23" spans="2:2" x14ac:dyDescent="0.25">
      <c r="B23" s="72"/>
    </row>
    <row r="24" spans="2:2" x14ac:dyDescent="0.25">
      <c r="B24" s="72"/>
    </row>
    <row r="25" spans="2:2" x14ac:dyDescent="0.25">
      <c r="B25" s="72"/>
    </row>
    <row r="26" spans="2:2" x14ac:dyDescent="0.25">
      <c r="B26" s="72"/>
    </row>
    <row r="27" spans="2:2" x14ac:dyDescent="0.25">
      <c r="B27" s="72"/>
    </row>
    <row r="28" spans="2:2" x14ac:dyDescent="0.25">
      <c r="B28" s="72"/>
    </row>
    <row r="29" spans="2:2" x14ac:dyDescent="0.25">
      <c r="B29" s="72"/>
    </row>
    <row r="30" spans="2:2" x14ac:dyDescent="0.25">
      <c r="B30" s="72"/>
    </row>
    <row r="31" spans="2:2" x14ac:dyDescent="0.25">
      <c r="B31" s="72"/>
    </row>
    <row r="32" spans="2:2" x14ac:dyDescent="0.25">
      <c r="B32" s="72"/>
    </row>
    <row r="33" spans="2:2" x14ac:dyDescent="0.25">
      <c r="B33" s="72"/>
    </row>
    <row r="34" spans="2:2" x14ac:dyDescent="0.25">
      <c r="B34" s="72"/>
    </row>
    <row r="35" spans="2:2" x14ac:dyDescent="0.25">
      <c r="B35" s="72"/>
    </row>
    <row r="36" spans="2:2" x14ac:dyDescent="0.25">
      <c r="B36" s="72"/>
    </row>
    <row r="37" spans="2:2" x14ac:dyDescent="0.25">
      <c r="B37" s="72"/>
    </row>
    <row r="38" spans="2:2" x14ac:dyDescent="0.25">
      <c r="B38" s="72"/>
    </row>
    <row r="39" spans="2:2" x14ac:dyDescent="0.25">
      <c r="B39" s="72"/>
    </row>
    <row r="40" spans="2:2" x14ac:dyDescent="0.25">
      <c r="B40" s="72"/>
    </row>
    <row r="41" spans="2:2" x14ac:dyDescent="0.25">
      <c r="B41" s="72"/>
    </row>
    <row r="42" spans="2:2" x14ac:dyDescent="0.25">
      <c r="B42" s="72"/>
    </row>
    <row r="43" spans="2:2" x14ac:dyDescent="0.25">
      <c r="B43" s="72"/>
    </row>
    <row r="44" spans="2:2" x14ac:dyDescent="0.25">
      <c r="B44" s="72"/>
    </row>
    <row r="45" spans="2:2" x14ac:dyDescent="0.25">
      <c r="B45" s="72"/>
    </row>
    <row r="46" spans="2:2" x14ac:dyDescent="0.25">
      <c r="B46" s="72"/>
    </row>
    <row r="47" spans="2:2" x14ac:dyDescent="0.25">
      <c r="B47" s="72"/>
    </row>
    <row r="48" spans="2:2" x14ac:dyDescent="0.25">
      <c r="B48" s="72"/>
    </row>
    <row r="49" spans="2:2" x14ac:dyDescent="0.25">
      <c r="B49" s="72"/>
    </row>
    <row r="50" spans="2:2" x14ac:dyDescent="0.25">
      <c r="B50" s="72"/>
    </row>
    <row r="51" spans="2:2" x14ac:dyDescent="0.25">
      <c r="B51" s="72"/>
    </row>
    <row r="52" spans="2:2" x14ac:dyDescent="0.25">
      <c r="B52" s="72"/>
    </row>
    <row r="53" spans="2:2" x14ac:dyDescent="0.25">
      <c r="B53" s="72"/>
    </row>
    <row r="54" spans="2:2" x14ac:dyDescent="0.25">
      <c r="B54" s="72"/>
    </row>
    <row r="55" spans="2:2" x14ac:dyDescent="0.25">
      <c r="B55" s="72"/>
    </row>
    <row r="56" spans="2:2" x14ac:dyDescent="0.25">
      <c r="B56" s="72"/>
    </row>
    <row r="57" spans="2:2" x14ac:dyDescent="0.25">
      <c r="B57" s="72"/>
    </row>
    <row r="75" spans="38:39" x14ac:dyDescent="0.25">
      <c r="AL75" s="72"/>
      <c r="AM75" s="72"/>
    </row>
    <row r="76" spans="38:39" x14ac:dyDescent="0.25">
      <c r="AL76" s="72"/>
      <c r="AM76" s="72"/>
    </row>
    <row r="77" spans="38:39" x14ac:dyDescent="0.25">
      <c r="AL77" s="72"/>
      <c r="AM77" s="72"/>
    </row>
    <row r="78" spans="38:39" x14ac:dyDescent="0.25">
      <c r="AL78" s="72"/>
      <c r="AM78" s="72"/>
    </row>
    <row r="79" spans="38:39" x14ac:dyDescent="0.25">
      <c r="AL79" s="72"/>
      <c r="AM79" s="72"/>
    </row>
    <row r="80" spans="38:39" x14ac:dyDescent="0.25">
      <c r="AL80" s="72"/>
      <c r="AM80" s="72"/>
    </row>
    <row r="81" spans="32:39" x14ac:dyDescent="0.25">
      <c r="AL81" s="72"/>
      <c r="AM81" s="72"/>
    </row>
    <row r="82" spans="32:39" x14ac:dyDescent="0.25">
      <c r="AL82" s="72"/>
      <c r="AM82" s="72"/>
    </row>
    <row r="83" spans="32:39" x14ac:dyDescent="0.25">
      <c r="AL83" s="72"/>
      <c r="AM83" s="72"/>
    </row>
    <row r="84" spans="32:39" x14ac:dyDescent="0.25">
      <c r="AL84" s="72"/>
      <c r="AM84" s="72"/>
    </row>
    <row r="85" spans="32:39" x14ac:dyDescent="0.25">
      <c r="AL85" s="72"/>
      <c r="AM85" s="72"/>
    </row>
    <row r="86" spans="32:39" x14ac:dyDescent="0.25">
      <c r="AL86" s="72"/>
      <c r="AM86" s="72"/>
    </row>
    <row r="87" spans="32:39" x14ac:dyDescent="0.25">
      <c r="AL87" s="72"/>
      <c r="AM87" s="72"/>
    </row>
    <row r="88" spans="32:39" x14ac:dyDescent="0.25">
      <c r="AL88" s="72"/>
      <c r="AM88" s="72"/>
    </row>
    <row r="89" spans="32:39" x14ac:dyDescent="0.25">
      <c r="AL89" s="72"/>
      <c r="AM89" s="72"/>
    </row>
    <row r="90" spans="32:39" x14ac:dyDescent="0.25">
      <c r="AL90" s="72"/>
      <c r="AM90" s="72"/>
    </row>
    <row r="91" spans="32:39" x14ac:dyDescent="0.25">
      <c r="AL91" s="72"/>
      <c r="AM91" s="72"/>
    </row>
    <row r="92" spans="32:39" x14ac:dyDescent="0.25">
      <c r="AF92" s="72"/>
      <c r="AG92" s="72"/>
      <c r="AH92" s="72"/>
      <c r="AI92" s="72"/>
      <c r="AJ92" s="72"/>
      <c r="AK92" s="72"/>
      <c r="AL92" s="72"/>
      <c r="AM92" s="72"/>
    </row>
    <row r="93" spans="32:39" x14ac:dyDescent="0.25">
      <c r="AF93" s="72"/>
      <c r="AG93" s="72"/>
      <c r="AH93" s="72"/>
      <c r="AI93" s="72"/>
      <c r="AJ93" s="72"/>
      <c r="AK93" s="72"/>
      <c r="AL93" s="72"/>
      <c r="AM93" s="72"/>
    </row>
    <row r="94" spans="32:39" x14ac:dyDescent="0.25">
      <c r="AF94" s="72"/>
      <c r="AG94" s="72"/>
      <c r="AH94" s="72"/>
      <c r="AI94" s="72"/>
      <c r="AJ94" s="72"/>
      <c r="AK94" s="72"/>
      <c r="AL94" s="72"/>
      <c r="AM94" s="72"/>
    </row>
    <row r="95" spans="32:39" x14ac:dyDescent="0.25">
      <c r="AF95" s="72"/>
      <c r="AG95" s="72"/>
      <c r="AH95" s="72"/>
      <c r="AI95" s="72"/>
      <c r="AJ95" s="72"/>
      <c r="AK95" s="72"/>
      <c r="AL95" s="72"/>
      <c r="AM95" s="72"/>
    </row>
    <row r="96" spans="32:39" x14ac:dyDescent="0.25">
      <c r="AF96" s="72"/>
      <c r="AG96" s="72"/>
      <c r="AH96" s="72"/>
      <c r="AI96" s="72"/>
      <c r="AJ96" s="72"/>
      <c r="AK96" s="72"/>
      <c r="AL96" s="72"/>
      <c r="AM96" s="72"/>
    </row>
    <row r="97" spans="32:39" x14ac:dyDescent="0.25">
      <c r="AF97" s="72"/>
      <c r="AG97" s="72"/>
      <c r="AH97" s="72"/>
      <c r="AI97" s="72"/>
      <c r="AJ97" s="72"/>
      <c r="AK97" s="72"/>
      <c r="AL97" s="72"/>
      <c r="AM97" s="72"/>
    </row>
    <row r="98" spans="32:39" x14ac:dyDescent="0.25">
      <c r="AF98" s="72"/>
      <c r="AG98" s="72"/>
      <c r="AH98" s="72"/>
      <c r="AI98" s="72"/>
      <c r="AJ98" s="72"/>
      <c r="AK98" s="72"/>
      <c r="AL98" s="72"/>
      <c r="AM98" s="72"/>
    </row>
    <row r="99" spans="32:39" x14ac:dyDescent="0.25">
      <c r="AF99" s="72"/>
      <c r="AG99" s="72"/>
      <c r="AH99" s="72"/>
      <c r="AI99" s="72"/>
      <c r="AJ99" s="72"/>
      <c r="AK99" s="72"/>
      <c r="AL99" s="72"/>
      <c r="AM99" s="72"/>
    </row>
    <row r="100" spans="32:39" x14ac:dyDescent="0.25">
      <c r="AF100" s="72"/>
      <c r="AG100" s="72"/>
      <c r="AH100" s="72"/>
      <c r="AI100" s="72"/>
      <c r="AJ100" s="72"/>
      <c r="AK100" s="72"/>
      <c r="AL100" s="72"/>
      <c r="AM100" s="72"/>
    </row>
    <row r="101" spans="32:39" x14ac:dyDescent="0.25">
      <c r="AF101" s="72"/>
      <c r="AG101" s="72"/>
      <c r="AH101" s="72"/>
      <c r="AI101" s="72"/>
      <c r="AJ101" s="72"/>
      <c r="AK101" s="72"/>
      <c r="AL101" s="72"/>
      <c r="AM101" s="72"/>
    </row>
    <row r="102" spans="32:39" x14ac:dyDescent="0.25">
      <c r="AF102" s="72"/>
      <c r="AG102" s="72"/>
      <c r="AH102" s="72"/>
      <c r="AI102" s="72"/>
      <c r="AJ102" s="72"/>
      <c r="AK102" s="72"/>
      <c r="AL102" s="72"/>
      <c r="AM102" s="72"/>
    </row>
    <row r="103" spans="32:39" x14ac:dyDescent="0.25">
      <c r="AF103" s="72"/>
      <c r="AG103" s="72"/>
      <c r="AH103" s="72"/>
      <c r="AI103" s="72"/>
      <c r="AJ103" s="72"/>
      <c r="AK103" s="72"/>
      <c r="AL103" s="72"/>
      <c r="AM103" s="72"/>
    </row>
    <row r="104" spans="32:39" x14ac:dyDescent="0.25">
      <c r="AF104" s="72"/>
      <c r="AG104" s="72"/>
      <c r="AH104" s="72"/>
      <c r="AI104" s="72"/>
      <c r="AJ104" s="72"/>
      <c r="AK104" s="72"/>
      <c r="AL104" s="72"/>
      <c r="AM104" s="72"/>
    </row>
    <row r="105" spans="32:39" x14ac:dyDescent="0.25">
      <c r="AF105" s="72"/>
      <c r="AG105" s="72"/>
      <c r="AH105" s="72"/>
      <c r="AI105" s="72"/>
      <c r="AJ105" s="72"/>
      <c r="AK105" s="72"/>
      <c r="AL105" s="72"/>
      <c r="AM105" s="72"/>
    </row>
    <row r="106" spans="32:39" x14ac:dyDescent="0.25">
      <c r="AF106" s="72"/>
      <c r="AG106" s="72"/>
      <c r="AH106" s="72"/>
      <c r="AI106" s="72"/>
      <c r="AJ106" s="72"/>
      <c r="AK106" s="72"/>
      <c r="AL106" s="72"/>
      <c r="AM106" s="72"/>
    </row>
    <row r="107" spans="32:39" x14ac:dyDescent="0.25">
      <c r="AF107" s="72"/>
      <c r="AG107" s="72"/>
      <c r="AH107" s="72"/>
      <c r="AI107" s="72"/>
      <c r="AJ107" s="72"/>
      <c r="AK107" s="72"/>
      <c r="AL107" s="72"/>
      <c r="AM107" s="72"/>
    </row>
    <row r="108" spans="32:39" x14ac:dyDescent="0.25">
      <c r="AF108" s="72"/>
      <c r="AG108" s="72"/>
      <c r="AH108" s="72"/>
      <c r="AI108" s="72"/>
      <c r="AJ108" s="72"/>
      <c r="AK108" s="72"/>
      <c r="AL108" s="72"/>
      <c r="AM108" s="72"/>
    </row>
    <row r="109" spans="32:39" x14ac:dyDescent="0.25">
      <c r="AF109" s="72"/>
      <c r="AG109" s="72"/>
      <c r="AH109" s="72"/>
      <c r="AI109" s="72"/>
      <c r="AJ109" s="72"/>
      <c r="AK109" s="72"/>
      <c r="AL109" s="72"/>
      <c r="AM109" s="72"/>
    </row>
    <row r="110" spans="32:39" x14ac:dyDescent="0.25">
      <c r="AF110" s="72"/>
      <c r="AG110" s="72"/>
      <c r="AH110" s="72"/>
      <c r="AI110" s="72"/>
      <c r="AJ110" s="72"/>
      <c r="AK110" s="72"/>
      <c r="AL110" s="72"/>
      <c r="AM110" s="72"/>
    </row>
    <row r="111" spans="32:39" x14ac:dyDescent="0.25">
      <c r="AF111" s="72"/>
      <c r="AG111" s="72"/>
      <c r="AH111" s="72"/>
      <c r="AI111" s="72"/>
      <c r="AJ111" s="72"/>
      <c r="AK111" s="72"/>
    </row>
    <row r="112" spans="32:39" x14ac:dyDescent="0.25">
      <c r="AF112" s="72"/>
      <c r="AG112" s="72"/>
      <c r="AH112" s="72"/>
      <c r="AI112" s="72"/>
      <c r="AJ112" s="72"/>
      <c r="AK112" s="72"/>
    </row>
    <row r="113" spans="32:37" x14ac:dyDescent="0.25">
      <c r="AF113" s="72"/>
      <c r="AG113" s="72"/>
      <c r="AH113" s="72"/>
      <c r="AI113" s="72"/>
      <c r="AJ113" s="72"/>
      <c r="AK113" s="72"/>
    </row>
    <row r="114" spans="32:37" x14ac:dyDescent="0.25">
      <c r="AF114" s="72"/>
      <c r="AG114" s="72"/>
      <c r="AH114" s="72"/>
      <c r="AI114" s="72"/>
      <c r="AJ114" s="72"/>
      <c r="AK114" s="72"/>
    </row>
    <row r="115" spans="32:37" x14ac:dyDescent="0.25">
      <c r="AF115" s="72"/>
      <c r="AG115" s="72"/>
      <c r="AH115" s="72"/>
      <c r="AI115" s="72"/>
      <c r="AJ115" s="72"/>
      <c r="AK115" s="72"/>
    </row>
    <row r="116" spans="32:37" x14ac:dyDescent="0.25">
      <c r="AF116" s="72"/>
      <c r="AG116" s="72"/>
      <c r="AH116" s="72"/>
      <c r="AI116" s="72"/>
      <c r="AJ116" s="72"/>
      <c r="AK116" s="72"/>
    </row>
    <row r="117" spans="32:37" x14ac:dyDescent="0.25">
      <c r="AF117" s="72"/>
      <c r="AG117" s="72"/>
      <c r="AH117" s="72"/>
      <c r="AI117" s="72"/>
      <c r="AJ117" s="72"/>
      <c r="AK117" s="72"/>
    </row>
    <row r="118" spans="32:37" x14ac:dyDescent="0.25">
      <c r="AF118" s="72"/>
      <c r="AG118" s="72"/>
      <c r="AH118" s="72"/>
      <c r="AI118" s="72"/>
      <c r="AJ118" s="72"/>
      <c r="AK118" s="72"/>
    </row>
    <row r="119" spans="32:37" x14ac:dyDescent="0.25">
      <c r="AF119" s="72"/>
      <c r="AG119" s="72"/>
      <c r="AH119" s="72"/>
      <c r="AI119" s="72"/>
      <c r="AJ119" s="72"/>
      <c r="AK119" s="72"/>
    </row>
    <row r="120" spans="32:37" x14ac:dyDescent="0.25">
      <c r="AF120" s="72"/>
      <c r="AG120" s="72"/>
      <c r="AH120" s="72"/>
      <c r="AI120" s="72"/>
      <c r="AJ120" s="72"/>
      <c r="AK120" s="72"/>
    </row>
    <row r="121" spans="32:37" x14ac:dyDescent="0.25">
      <c r="AF121" s="72"/>
      <c r="AG121" s="72"/>
      <c r="AH121" s="72"/>
      <c r="AI121" s="72"/>
      <c r="AJ121" s="72"/>
      <c r="AK121" s="72"/>
    </row>
    <row r="122" spans="32:37" x14ac:dyDescent="0.25">
      <c r="AF122" s="72"/>
      <c r="AG122" s="72"/>
      <c r="AH122" s="72"/>
      <c r="AI122" s="72"/>
      <c r="AJ122" s="72"/>
      <c r="AK122" s="72"/>
    </row>
    <row r="123" spans="32:37" x14ac:dyDescent="0.25">
      <c r="AF123" s="72"/>
      <c r="AG123" s="72"/>
      <c r="AH123" s="72"/>
      <c r="AI123" s="72"/>
      <c r="AJ123" s="72"/>
      <c r="AK123" s="72"/>
    </row>
    <row r="124" spans="32:37" x14ac:dyDescent="0.25">
      <c r="AF124" s="72"/>
      <c r="AG124" s="72"/>
      <c r="AH124" s="72"/>
      <c r="AI124" s="72"/>
      <c r="AJ124" s="72"/>
      <c r="AK124" s="72"/>
    </row>
    <row r="125" spans="32:37" x14ac:dyDescent="0.25">
      <c r="AF125" s="72"/>
      <c r="AG125" s="72"/>
      <c r="AH125" s="72"/>
      <c r="AI125" s="72"/>
      <c r="AJ125" s="72"/>
      <c r="AK125" s="72"/>
    </row>
    <row r="126" spans="32:37" x14ac:dyDescent="0.25">
      <c r="AF126" s="72"/>
      <c r="AG126" s="72"/>
      <c r="AH126" s="72"/>
      <c r="AI126" s="72"/>
      <c r="AJ126" s="72"/>
      <c r="AK126" s="72"/>
    </row>
    <row r="127" spans="32:37" x14ac:dyDescent="0.25">
      <c r="AF127" s="72"/>
      <c r="AG127" s="72"/>
      <c r="AH127" s="72"/>
      <c r="AI127" s="72"/>
      <c r="AJ127" s="72"/>
      <c r="AK127" s="72"/>
    </row>
    <row r="1138" spans="28:31" x14ac:dyDescent="0.25">
      <c r="AE1138" s="72"/>
    </row>
    <row r="1139" spans="28:31" x14ac:dyDescent="0.25">
      <c r="AC1139" s="72"/>
      <c r="AD1139" s="72"/>
      <c r="AE1139" s="72"/>
    </row>
    <row r="1140" spans="28:31" x14ac:dyDescent="0.25">
      <c r="AC1140" s="72"/>
      <c r="AD1140" s="72"/>
      <c r="AE1140" s="72"/>
    </row>
    <row r="1141" spans="28:31" x14ac:dyDescent="0.25">
      <c r="AC1141" s="72"/>
      <c r="AD1141" s="72"/>
      <c r="AE1141" s="72"/>
    </row>
    <row r="1142" spans="28:31" x14ac:dyDescent="0.25">
      <c r="AC1142" s="72"/>
      <c r="AD1142" s="72"/>
      <c r="AE1142" s="72"/>
    </row>
    <row r="1143" spans="28:31" x14ac:dyDescent="0.25">
      <c r="AC1143" s="72"/>
      <c r="AD1143" s="72"/>
      <c r="AE1143" s="72"/>
    </row>
    <row r="1144" spans="28:31" x14ac:dyDescent="0.25">
      <c r="AC1144" s="72"/>
      <c r="AD1144" s="72"/>
      <c r="AE1144" s="72"/>
    </row>
    <row r="1145" spans="28:31" x14ac:dyDescent="0.25">
      <c r="AC1145" s="72"/>
      <c r="AD1145" s="72"/>
      <c r="AE1145" s="72"/>
    </row>
    <row r="1146" spans="28:31" x14ac:dyDescent="0.25">
      <c r="AC1146" s="72"/>
      <c r="AD1146" s="72"/>
      <c r="AE1146" s="72"/>
    </row>
    <row r="1147" spans="28:31" x14ac:dyDescent="0.25">
      <c r="AC1147" s="72"/>
      <c r="AD1147" s="72"/>
      <c r="AE1147" s="72"/>
    </row>
    <row r="1148" spans="28:31" x14ac:dyDescent="0.25">
      <c r="AB1148" s="72"/>
      <c r="AC1148" s="72"/>
      <c r="AD1148" s="72"/>
      <c r="AE1148" s="72"/>
    </row>
    <row r="1149" spans="28:31" x14ac:dyDescent="0.25">
      <c r="AB1149" s="72"/>
      <c r="AC1149" s="72"/>
      <c r="AD1149" s="72"/>
      <c r="AE1149" s="72"/>
    </row>
    <row r="1150" spans="28:31" x14ac:dyDescent="0.25">
      <c r="AB1150" s="72"/>
      <c r="AC1150" s="72"/>
      <c r="AD1150" s="72"/>
      <c r="AE1150" s="72"/>
    </row>
    <row r="1151" spans="28:31" x14ac:dyDescent="0.25">
      <c r="AB1151" s="72"/>
      <c r="AC1151" s="72"/>
      <c r="AD1151" s="72"/>
      <c r="AE1151" s="72"/>
    </row>
    <row r="1152" spans="28:31" x14ac:dyDescent="0.25">
      <c r="AB1152" s="72"/>
      <c r="AC1152" s="72"/>
      <c r="AD1152" s="72"/>
      <c r="AE1152" s="72"/>
    </row>
    <row r="1153" spans="24:31" x14ac:dyDescent="0.25">
      <c r="AB1153" s="72"/>
      <c r="AC1153" s="72"/>
      <c r="AD1153" s="72"/>
      <c r="AE1153" s="72"/>
    </row>
    <row r="1154" spans="24:31" x14ac:dyDescent="0.25">
      <c r="AB1154" s="72"/>
      <c r="AC1154" s="72"/>
      <c r="AD1154" s="72"/>
      <c r="AE1154" s="72"/>
    </row>
    <row r="1155" spans="24:31" x14ac:dyDescent="0.25">
      <c r="AB1155" s="72"/>
      <c r="AC1155" s="72"/>
      <c r="AD1155" s="72"/>
      <c r="AE1155" s="72"/>
    </row>
    <row r="1156" spans="24:31" x14ac:dyDescent="0.25">
      <c r="AB1156" s="72"/>
      <c r="AC1156" s="72"/>
      <c r="AD1156" s="72"/>
      <c r="AE1156" s="72"/>
    </row>
    <row r="1157" spans="24:31" x14ac:dyDescent="0.25">
      <c r="AB1157" s="72"/>
      <c r="AC1157" s="72"/>
      <c r="AD1157" s="72"/>
      <c r="AE1157" s="72"/>
    </row>
    <row r="1158" spans="24:31" x14ac:dyDescent="0.25">
      <c r="AB1158" s="72"/>
      <c r="AC1158" s="72"/>
      <c r="AD1158" s="72"/>
      <c r="AE1158" s="72"/>
    </row>
    <row r="1159" spans="24:31" x14ac:dyDescent="0.25">
      <c r="AB1159" s="72"/>
      <c r="AC1159" s="72"/>
      <c r="AD1159" s="72"/>
      <c r="AE1159" s="72"/>
    </row>
    <row r="1160" spans="24:31" x14ac:dyDescent="0.25">
      <c r="AB1160" s="72"/>
      <c r="AC1160" s="72"/>
      <c r="AD1160" s="72"/>
      <c r="AE1160" s="72"/>
    </row>
    <row r="1161" spans="24:31" x14ac:dyDescent="0.25">
      <c r="AB1161" s="72"/>
      <c r="AC1161" s="72"/>
      <c r="AD1161" s="72"/>
      <c r="AE1161" s="72"/>
    </row>
    <row r="1162" spans="24:31" x14ac:dyDescent="0.25">
      <c r="AB1162" s="72"/>
      <c r="AC1162" s="72"/>
      <c r="AD1162" s="72"/>
      <c r="AE1162" s="72"/>
    </row>
    <row r="1163" spans="24:31" x14ac:dyDescent="0.25">
      <c r="X1163" s="72"/>
      <c r="Y1163" s="72"/>
      <c r="Z1163" s="72"/>
      <c r="AA1163" s="72"/>
      <c r="AB1163" s="72"/>
      <c r="AC1163" s="72"/>
      <c r="AD1163" s="72"/>
      <c r="AE1163" s="72"/>
    </row>
    <row r="1164" spans="24:31" x14ac:dyDescent="0.25">
      <c r="X1164" s="72"/>
      <c r="Y1164" s="72"/>
      <c r="Z1164" s="72"/>
      <c r="AA1164" s="72"/>
      <c r="AB1164" s="72"/>
      <c r="AC1164" s="72"/>
      <c r="AD1164" s="72"/>
      <c r="AE1164" s="72"/>
    </row>
    <row r="1165" spans="24:31" x14ac:dyDescent="0.25">
      <c r="X1165" s="72"/>
      <c r="Y1165" s="72"/>
      <c r="Z1165" s="72"/>
      <c r="AA1165" s="72"/>
      <c r="AB1165" s="72"/>
      <c r="AC1165" s="72"/>
      <c r="AD1165" s="72"/>
      <c r="AE1165" s="72"/>
    </row>
    <row r="1166" spans="24:31" x14ac:dyDescent="0.25">
      <c r="X1166" s="72"/>
      <c r="Y1166" s="72"/>
      <c r="Z1166" s="72"/>
      <c r="AA1166" s="72"/>
      <c r="AB1166" s="72"/>
      <c r="AC1166" s="72"/>
      <c r="AD1166" s="72"/>
      <c r="AE1166" s="72"/>
    </row>
    <row r="1167" spans="24:31" x14ac:dyDescent="0.25">
      <c r="X1167" s="72"/>
      <c r="Y1167" s="72"/>
      <c r="Z1167" s="72"/>
      <c r="AA1167" s="72"/>
      <c r="AB1167" s="72"/>
      <c r="AC1167" s="72"/>
      <c r="AD1167" s="72"/>
      <c r="AE1167" s="72"/>
    </row>
    <row r="1168" spans="24:31" x14ac:dyDescent="0.25">
      <c r="X1168" s="72"/>
      <c r="Y1168" s="72"/>
      <c r="Z1168" s="72"/>
      <c r="AA1168" s="72"/>
      <c r="AB1168" s="72"/>
      <c r="AC1168" s="72"/>
      <c r="AD1168" s="72"/>
      <c r="AE1168" s="72"/>
    </row>
    <row r="1169" spans="24:31" x14ac:dyDescent="0.25">
      <c r="X1169" s="72"/>
      <c r="Y1169" s="72"/>
      <c r="Z1169" s="72"/>
      <c r="AA1169" s="72"/>
      <c r="AB1169" s="72"/>
      <c r="AC1169" s="72"/>
      <c r="AD1169" s="72"/>
      <c r="AE1169" s="72"/>
    </row>
    <row r="1170" spans="24:31" x14ac:dyDescent="0.25">
      <c r="X1170" s="72"/>
      <c r="Y1170" s="72"/>
      <c r="Z1170" s="72"/>
      <c r="AA1170" s="72"/>
      <c r="AB1170" s="72"/>
      <c r="AC1170" s="72"/>
      <c r="AD1170" s="72"/>
      <c r="AE1170" s="72"/>
    </row>
    <row r="1171" spans="24:31" x14ac:dyDescent="0.25">
      <c r="X1171" s="72"/>
      <c r="Y1171" s="72"/>
      <c r="Z1171" s="72"/>
      <c r="AA1171" s="72"/>
      <c r="AB1171" s="72"/>
      <c r="AC1171" s="72"/>
      <c r="AD1171" s="72"/>
      <c r="AE1171" s="72"/>
    </row>
    <row r="1172" spans="24:31" x14ac:dyDescent="0.25">
      <c r="X1172" s="72"/>
      <c r="Y1172" s="72"/>
      <c r="Z1172" s="72"/>
      <c r="AA1172" s="72"/>
      <c r="AB1172" s="72"/>
      <c r="AC1172" s="72"/>
      <c r="AD1172" s="72"/>
      <c r="AE1172" s="72"/>
    </row>
    <row r="1173" spans="24:31" x14ac:dyDescent="0.25">
      <c r="X1173" s="72"/>
      <c r="Y1173" s="72"/>
      <c r="Z1173" s="72"/>
      <c r="AA1173" s="72"/>
      <c r="AB1173" s="72"/>
      <c r="AC1173" s="72"/>
      <c r="AD1173" s="72"/>
      <c r="AE1173" s="72"/>
    </row>
    <row r="1174" spans="24:31" x14ac:dyDescent="0.25">
      <c r="X1174" s="72"/>
      <c r="Y1174" s="72"/>
      <c r="Z1174" s="72"/>
      <c r="AA1174" s="72"/>
      <c r="AB1174" s="72"/>
      <c r="AC1174" s="72"/>
      <c r="AD1174" s="72"/>
    </row>
    <row r="1175" spans="24:31" x14ac:dyDescent="0.25">
      <c r="X1175" s="72"/>
      <c r="Y1175" s="72"/>
      <c r="Z1175" s="72"/>
      <c r="AA1175" s="72"/>
      <c r="AB1175" s="72"/>
    </row>
    <row r="1176" spans="24:31" x14ac:dyDescent="0.25">
      <c r="X1176" s="72"/>
      <c r="Y1176" s="72"/>
      <c r="Z1176" s="72"/>
      <c r="AA1176" s="72"/>
      <c r="AB1176" s="72"/>
    </row>
    <row r="1177" spans="24:31" x14ac:dyDescent="0.25">
      <c r="X1177" s="72"/>
      <c r="Y1177" s="72"/>
      <c r="Z1177" s="72"/>
      <c r="AA1177" s="72"/>
      <c r="AB1177" s="72"/>
    </row>
    <row r="1178" spans="24:31" x14ac:dyDescent="0.25">
      <c r="X1178" s="72"/>
      <c r="Y1178" s="72"/>
      <c r="Z1178" s="72"/>
      <c r="AA1178" s="72"/>
      <c r="AB1178" s="72"/>
    </row>
    <row r="1179" spans="24:31" x14ac:dyDescent="0.25">
      <c r="X1179" s="72"/>
      <c r="Y1179" s="72"/>
      <c r="Z1179" s="72"/>
      <c r="AA1179" s="72"/>
      <c r="AB1179" s="72"/>
    </row>
    <row r="1180" spans="24:31" x14ac:dyDescent="0.25">
      <c r="X1180" s="72"/>
      <c r="Y1180" s="72"/>
      <c r="Z1180" s="72"/>
      <c r="AA1180" s="72"/>
      <c r="AB1180" s="72"/>
    </row>
    <row r="1181" spans="24:31" x14ac:dyDescent="0.25">
      <c r="X1181" s="72"/>
      <c r="Y1181" s="72"/>
      <c r="Z1181" s="72"/>
      <c r="AA1181" s="72"/>
      <c r="AB1181" s="72"/>
    </row>
    <row r="1182" spans="24:31" x14ac:dyDescent="0.25">
      <c r="X1182" s="72"/>
      <c r="Y1182" s="72"/>
      <c r="Z1182" s="72"/>
      <c r="AA1182" s="72"/>
      <c r="AB1182" s="72"/>
    </row>
    <row r="1183" spans="24:31" x14ac:dyDescent="0.25">
      <c r="X1183" s="72"/>
      <c r="Y1183" s="72"/>
      <c r="Z1183" s="72"/>
      <c r="AA1183" s="72"/>
      <c r="AB1183" s="72"/>
    </row>
    <row r="1184" spans="24:31" x14ac:dyDescent="0.25">
      <c r="X1184" s="72"/>
      <c r="Y1184" s="72"/>
      <c r="Z1184" s="72"/>
      <c r="AA1184" s="72"/>
    </row>
    <row r="1185" spans="24:27" x14ac:dyDescent="0.25">
      <c r="X1185" s="72"/>
      <c r="Y1185" s="72"/>
      <c r="Z1185" s="72"/>
      <c r="AA1185" s="72"/>
    </row>
    <row r="1186" spans="24:27" x14ac:dyDescent="0.25">
      <c r="X1186" s="72"/>
      <c r="Y1186" s="72"/>
      <c r="Z1186" s="72"/>
      <c r="AA1186" s="72"/>
    </row>
    <row r="1187" spans="24:27" x14ac:dyDescent="0.25">
      <c r="X1187" s="72"/>
      <c r="Y1187" s="72"/>
      <c r="Z1187" s="72"/>
      <c r="AA1187" s="72"/>
    </row>
    <row r="1188" spans="24:27" x14ac:dyDescent="0.25">
      <c r="X1188" s="72"/>
      <c r="Y1188" s="72"/>
      <c r="Z1188" s="72"/>
      <c r="AA1188" s="72"/>
    </row>
    <row r="1189" spans="24:27" x14ac:dyDescent="0.25">
      <c r="X1189" s="72"/>
      <c r="Y1189" s="72"/>
      <c r="Z1189" s="72"/>
      <c r="AA1189" s="72"/>
    </row>
    <row r="1190" spans="24:27" x14ac:dyDescent="0.25">
      <c r="X1190" s="72"/>
      <c r="Y1190" s="72"/>
      <c r="Z1190" s="72"/>
      <c r="AA1190" s="72"/>
    </row>
    <row r="1191" spans="24:27" x14ac:dyDescent="0.25">
      <c r="X1191" s="72"/>
      <c r="Y1191" s="72"/>
      <c r="Z1191" s="72"/>
      <c r="AA1191" s="72"/>
    </row>
    <row r="1192" spans="24:27" x14ac:dyDescent="0.25">
      <c r="X1192" s="72"/>
      <c r="Y1192" s="72"/>
      <c r="Z1192" s="72"/>
      <c r="AA1192" s="72"/>
    </row>
    <row r="1193" spans="24:27" x14ac:dyDescent="0.25">
      <c r="X1193" s="72"/>
      <c r="Y1193" s="72"/>
      <c r="Z1193" s="72"/>
      <c r="AA1193" s="72"/>
    </row>
    <row r="1194" spans="24:27" x14ac:dyDescent="0.25">
      <c r="X1194" s="72"/>
      <c r="Y1194" s="72"/>
      <c r="Z1194" s="72"/>
      <c r="AA1194" s="72"/>
    </row>
    <row r="1195" spans="24:27" x14ac:dyDescent="0.25">
      <c r="X1195" s="72"/>
      <c r="Y1195" s="72"/>
      <c r="Z1195" s="72"/>
      <c r="AA1195" s="72"/>
    </row>
    <row r="1196" spans="24:27" x14ac:dyDescent="0.25">
      <c r="X1196" s="72"/>
      <c r="Y1196" s="72"/>
      <c r="Z1196" s="72"/>
      <c r="AA1196" s="72"/>
    </row>
    <row r="1197" spans="24:27" x14ac:dyDescent="0.25">
      <c r="X1197" s="72"/>
      <c r="Y1197" s="72"/>
      <c r="Z1197" s="72"/>
      <c r="AA1197" s="72"/>
    </row>
    <row r="1198" spans="24:27" x14ac:dyDescent="0.25">
      <c r="X1198" s="72"/>
      <c r="Y1198" s="72"/>
      <c r="Z1198" s="72"/>
      <c r="AA1198" s="72"/>
    </row>
    <row r="1332" spans="3:23" x14ac:dyDescent="0.25">
      <c r="V1332" s="72"/>
      <c r="W1332" s="72"/>
    </row>
    <row r="1333" spans="3:23" x14ac:dyDescent="0.25">
      <c r="V1333" s="72"/>
      <c r="W1333" s="72"/>
    </row>
    <row r="1334" spans="3:23" x14ac:dyDescent="0.25">
      <c r="V1334" s="72"/>
      <c r="W1334" s="72"/>
    </row>
    <row r="1335" spans="3:23" x14ac:dyDescent="0.25">
      <c r="V1335" s="72"/>
      <c r="W1335" s="72"/>
    </row>
    <row r="1336" spans="3:23" x14ac:dyDescent="0.25">
      <c r="V1336" s="72"/>
      <c r="W1336" s="72"/>
    </row>
    <row r="1337" spans="3:23" x14ac:dyDescent="0.25">
      <c r="V1337" s="72"/>
      <c r="W1337" s="72"/>
    </row>
    <row r="1338" spans="3:23" x14ac:dyDescent="0.25">
      <c r="V1338" s="72"/>
      <c r="W1338" s="72"/>
    </row>
    <row r="1339" spans="3:23" x14ac:dyDescent="0.25">
      <c r="V1339" s="72"/>
      <c r="W1339" s="72"/>
    </row>
    <row r="1340" spans="3:23" x14ac:dyDescent="0.25">
      <c r="V1340" s="72"/>
      <c r="W1340" s="72"/>
    </row>
    <row r="1341" spans="3:23" x14ac:dyDescent="0.25">
      <c r="V1341" s="72"/>
      <c r="W1341" s="72"/>
    </row>
    <row r="1342" spans="3:23" x14ac:dyDescent="0.25">
      <c r="V1342" s="72"/>
      <c r="W1342" s="72"/>
    </row>
    <row r="1343" spans="3:23" x14ac:dyDescent="0.25">
      <c r="C1343" s="72"/>
      <c r="D1343" s="72"/>
      <c r="E1343" s="72"/>
      <c r="F1343" s="72"/>
      <c r="G1343" s="72"/>
      <c r="H1343" s="72"/>
      <c r="I1343" s="72"/>
      <c r="J1343" s="72"/>
      <c r="K1343" s="72"/>
      <c r="L1343" s="72"/>
      <c r="M1343" s="72"/>
      <c r="N1343" s="72"/>
      <c r="O1343" s="72"/>
      <c r="P1343" s="72"/>
      <c r="Q1343" s="72"/>
      <c r="R1343" s="72"/>
      <c r="S1343" s="72"/>
      <c r="T1343" s="72"/>
      <c r="U1343" s="72"/>
      <c r="V1343" s="72"/>
      <c r="W1343" s="72"/>
    </row>
    <row r="1344" spans="3:23" x14ac:dyDescent="0.25">
      <c r="C1344" s="72"/>
      <c r="D1344" s="72"/>
      <c r="E1344" s="72"/>
      <c r="F1344" s="72"/>
      <c r="G1344" s="72"/>
      <c r="H1344" s="72"/>
      <c r="I1344" s="72"/>
      <c r="J1344" s="72"/>
      <c r="K1344" s="72"/>
      <c r="L1344" s="72"/>
      <c r="M1344" s="72"/>
      <c r="N1344" s="72"/>
      <c r="O1344" s="72"/>
      <c r="P1344" s="72"/>
      <c r="Q1344" s="72"/>
      <c r="R1344" s="72"/>
      <c r="S1344" s="72"/>
      <c r="T1344" s="72"/>
      <c r="U1344" s="72"/>
      <c r="V1344" s="72"/>
      <c r="W1344" s="72"/>
    </row>
    <row r="1345" spans="3:23" x14ac:dyDescent="0.25">
      <c r="C1345" s="72"/>
      <c r="D1345" s="72"/>
      <c r="E1345" s="72"/>
      <c r="F1345" s="72"/>
      <c r="G1345" s="72"/>
      <c r="H1345" s="72"/>
      <c r="I1345" s="72"/>
      <c r="J1345" s="72"/>
      <c r="K1345" s="72"/>
      <c r="L1345" s="72"/>
      <c r="M1345" s="72"/>
      <c r="N1345" s="72"/>
      <c r="O1345" s="72"/>
      <c r="P1345" s="72"/>
      <c r="Q1345" s="72"/>
      <c r="R1345" s="72"/>
      <c r="S1345" s="72"/>
      <c r="T1345" s="72"/>
      <c r="U1345" s="72"/>
      <c r="V1345" s="72"/>
      <c r="W1345" s="72"/>
    </row>
    <row r="1346" spans="3:23" x14ac:dyDescent="0.25">
      <c r="C1346" s="72"/>
      <c r="D1346" s="72"/>
      <c r="E1346" s="72"/>
      <c r="F1346" s="72"/>
      <c r="G1346" s="72"/>
      <c r="H1346" s="72"/>
      <c r="I1346" s="72"/>
      <c r="J1346" s="72"/>
      <c r="K1346" s="72"/>
      <c r="L1346" s="72"/>
      <c r="M1346" s="72"/>
      <c r="N1346" s="72"/>
      <c r="O1346" s="72"/>
      <c r="P1346" s="72"/>
      <c r="Q1346" s="72"/>
      <c r="R1346" s="72"/>
      <c r="S1346" s="72"/>
      <c r="T1346" s="72"/>
      <c r="U1346" s="72"/>
      <c r="V1346" s="72"/>
      <c r="W1346" s="72"/>
    </row>
    <row r="1347" spans="3:23" x14ac:dyDescent="0.25">
      <c r="C1347" s="72"/>
      <c r="D1347" s="72"/>
      <c r="E1347" s="72"/>
      <c r="F1347" s="72"/>
      <c r="G1347" s="72"/>
      <c r="H1347" s="72"/>
      <c r="I1347" s="72"/>
      <c r="J1347" s="72"/>
      <c r="K1347" s="72"/>
      <c r="L1347" s="72"/>
      <c r="M1347" s="72"/>
      <c r="N1347" s="72"/>
      <c r="O1347" s="72"/>
      <c r="P1347" s="72"/>
      <c r="Q1347" s="72"/>
      <c r="R1347" s="72"/>
      <c r="S1347" s="72"/>
      <c r="T1347" s="72"/>
      <c r="U1347" s="72"/>
      <c r="V1347" s="72"/>
      <c r="W1347" s="72"/>
    </row>
    <row r="1348" spans="3:23" x14ac:dyDescent="0.25">
      <c r="C1348" s="72"/>
      <c r="D1348" s="72"/>
      <c r="E1348" s="72"/>
      <c r="F1348" s="72"/>
      <c r="G1348" s="72"/>
      <c r="H1348" s="72"/>
      <c r="I1348" s="72"/>
      <c r="J1348" s="72"/>
      <c r="K1348" s="72"/>
      <c r="L1348" s="72"/>
      <c r="M1348" s="72"/>
      <c r="N1348" s="72"/>
      <c r="O1348" s="72"/>
      <c r="P1348" s="72"/>
      <c r="Q1348" s="72"/>
      <c r="R1348" s="72"/>
      <c r="S1348" s="72"/>
      <c r="T1348" s="72"/>
      <c r="U1348" s="72"/>
      <c r="V1348" s="72"/>
      <c r="W1348" s="72"/>
    </row>
    <row r="1349" spans="3:23" x14ac:dyDescent="0.25">
      <c r="C1349" s="72"/>
      <c r="D1349" s="72"/>
      <c r="E1349" s="72"/>
      <c r="F1349" s="72"/>
      <c r="G1349" s="72"/>
      <c r="H1349" s="72"/>
      <c r="I1349" s="72"/>
      <c r="J1349" s="72"/>
      <c r="K1349" s="72"/>
      <c r="L1349" s="72"/>
      <c r="M1349" s="72"/>
      <c r="N1349" s="72"/>
      <c r="O1349" s="72"/>
      <c r="P1349" s="72"/>
      <c r="Q1349" s="72"/>
      <c r="R1349" s="72"/>
      <c r="S1349" s="72"/>
      <c r="T1349" s="72"/>
      <c r="U1349" s="72"/>
      <c r="V1349" s="72"/>
      <c r="W1349" s="72"/>
    </row>
    <row r="1350" spans="3:23" x14ac:dyDescent="0.25">
      <c r="C1350" s="72"/>
      <c r="D1350" s="72"/>
      <c r="E1350" s="72"/>
      <c r="F1350" s="72"/>
      <c r="G1350" s="72"/>
      <c r="H1350" s="72"/>
      <c r="I1350" s="72"/>
      <c r="J1350" s="72"/>
      <c r="K1350" s="72"/>
      <c r="L1350" s="72"/>
      <c r="M1350" s="72"/>
      <c r="N1350" s="72"/>
      <c r="O1350" s="72"/>
      <c r="P1350" s="72"/>
      <c r="Q1350" s="72"/>
      <c r="R1350" s="72"/>
      <c r="S1350" s="72"/>
      <c r="T1350" s="72"/>
      <c r="U1350" s="72"/>
      <c r="V1350" s="72"/>
      <c r="W1350" s="72"/>
    </row>
    <row r="1351" spans="3:23" x14ac:dyDescent="0.25">
      <c r="C1351" s="72"/>
      <c r="D1351" s="72"/>
      <c r="E1351" s="72"/>
      <c r="F1351" s="72"/>
      <c r="G1351" s="72"/>
      <c r="H1351" s="72"/>
      <c r="I1351" s="72"/>
      <c r="J1351" s="72"/>
      <c r="K1351" s="72"/>
      <c r="L1351" s="72"/>
      <c r="M1351" s="72"/>
      <c r="N1351" s="72"/>
      <c r="O1351" s="72"/>
      <c r="P1351" s="72"/>
      <c r="Q1351" s="72"/>
      <c r="R1351" s="72"/>
      <c r="S1351" s="72"/>
      <c r="T1351" s="72"/>
      <c r="U1351" s="72"/>
      <c r="V1351" s="72"/>
      <c r="W1351" s="72"/>
    </row>
    <row r="1352" spans="3:23" x14ac:dyDescent="0.25">
      <c r="C1352" s="72"/>
      <c r="D1352" s="72"/>
      <c r="E1352" s="72"/>
      <c r="F1352" s="72"/>
      <c r="G1352" s="72"/>
      <c r="H1352" s="72"/>
      <c r="I1352" s="72"/>
      <c r="J1352" s="72"/>
      <c r="K1352" s="72"/>
      <c r="L1352" s="72"/>
      <c r="M1352" s="72"/>
      <c r="N1352" s="72"/>
      <c r="O1352" s="72"/>
      <c r="P1352" s="72"/>
      <c r="Q1352" s="72"/>
      <c r="R1352" s="72"/>
      <c r="S1352" s="72"/>
      <c r="T1352" s="72"/>
      <c r="U1352" s="72"/>
      <c r="V1352" s="72"/>
      <c r="W1352" s="72"/>
    </row>
    <row r="1353" spans="3:23" x14ac:dyDescent="0.25">
      <c r="C1353" s="72"/>
      <c r="D1353" s="72"/>
      <c r="E1353" s="72"/>
      <c r="F1353" s="72"/>
      <c r="G1353" s="72"/>
      <c r="H1353" s="72"/>
      <c r="I1353" s="72"/>
      <c r="J1353" s="72"/>
      <c r="K1353" s="72"/>
      <c r="L1353" s="72"/>
      <c r="M1353" s="72"/>
      <c r="N1353" s="72"/>
      <c r="O1353" s="72"/>
      <c r="P1353" s="72"/>
      <c r="Q1353" s="72"/>
      <c r="R1353" s="72"/>
      <c r="S1353" s="72"/>
      <c r="T1353" s="72"/>
      <c r="U1353" s="72"/>
      <c r="V1353" s="72"/>
      <c r="W1353" s="72"/>
    </row>
    <row r="1354" spans="3:23" x14ac:dyDescent="0.25">
      <c r="C1354" s="72"/>
      <c r="D1354" s="72"/>
      <c r="E1354" s="72"/>
      <c r="F1354" s="72"/>
      <c r="G1354" s="72"/>
      <c r="H1354" s="72"/>
      <c r="I1354" s="72"/>
      <c r="J1354" s="72"/>
      <c r="K1354" s="72"/>
      <c r="L1354" s="72"/>
      <c r="M1354" s="72"/>
      <c r="N1354" s="72"/>
      <c r="O1354" s="72"/>
      <c r="P1354" s="72"/>
      <c r="Q1354" s="72"/>
      <c r="R1354" s="72"/>
      <c r="S1354" s="72"/>
      <c r="T1354" s="72"/>
      <c r="U1354" s="72"/>
      <c r="V1354" s="72"/>
      <c r="W1354" s="72"/>
    </row>
    <row r="1355" spans="3:23" x14ac:dyDescent="0.25">
      <c r="C1355" s="72"/>
      <c r="D1355" s="72"/>
      <c r="E1355" s="72"/>
      <c r="F1355" s="72"/>
      <c r="G1355" s="72"/>
      <c r="H1355" s="72"/>
      <c r="I1355" s="72"/>
      <c r="J1355" s="72"/>
      <c r="K1355" s="72"/>
      <c r="L1355" s="72"/>
      <c r="M1355" s="72"/>
      <c r="N1355" s="72"/>
      <c r="O1355" s="72"/>
      <c r="P1355" s="72"/>
      <c r="Q1355" s="72"/>
      <c r="R1355" s="72"/>
      <c r="S1355" s="72"/>
      <c r="T1355" s="72"/>
      <c r="U1355" s="72"/>
      <c r="V1355" s="72"/>
      <c r="W1355" s="72"/>
    </row>
    <row r="1356" spans="3:23" x14ac:dyDescent="0.25">
      <c r="C1356" s="72"/>
      <c r="D1356" s="72"/>
      <c r="E1356" s="72"/>
      <c r="F1356" s="72"/>
      <c r="G1356" s="72"/>
      <c r="H1356" s="72"/>
      <c r="I1356" s="72"/>
      <c r="J1356" s="72"/>
      <c r="K1356" s="72"/>
      <c r="L1356" s="72"/>
      <c r="M1356" s="72"/>
      <c r="N1356" s="72"/>
      <c r="O1356" s="72"/>
      <c r="P1356" s="72"/>
      <c r="Q1356" s="72"/>
      <c r="R1356" s="72"/>
      <c r="S1356" s="72"/>
      <c r="T1356" s="72"/>
      <c r="U1356" s="72"/>
      <c r="V1356" s="72"/>
      <c r="W1356" s="72"/>
    </row>
    <row r="1357" spans="3:23" x14ac:dyDescent="0.25">
      <c r="C1357" s="72"/>
      <c r="D1357" s="72"/>
      <c r="E1357" s="72"/>
      <c r="F1357" s="72"/>
      <c r="G1357" s="72"/>
      <c r="H1357" s="72"/>
      <c r="I1357" s="72"/>
      <c r="J1357" s="72"/>
      <c r="K1357" s="72"/>
      <c r="L1357" s="72"/>
      <c r="M1357" s="72"/>
      <c r="N1357" s="72"/>
      <c r="O1357" s="72"/>
      <c r="P1357" s="72"/>
      <c r="Q1357" s="72"/>
      <c r="R1357" s="72"/>
      <c r="S1357" s="72"/>
      <c r="T1357" s="72"/>
      <c r="U1357" s="72"/>
      <c r="V1357" s="72"/>
      <c r="W1357" s="72"/>
    </row>
    <row r="1358" spans="3:23" x14ac:dyDescent="0.25">
      <c r="C1358" s="72"/>
      <c r="D1358" s="72"/>
      <c r="E1358" s="72"/>
      <c r="F1358" s="72"/>
      <c r="G1358" s="72"/>
      <c r="H1358" s="72"/>
      <c r="I1358" s="72"/>
      <c r="J1358" s="72"/>
      <c r="K1358" s="72"/>
      <c r="L1358" s="72"/>
      <c r="M1358" s="72"/>
      <c r="N1358" s="72"/>
      <c r="O1358" s="72"/>
      <c r="P1358" s="72"/>
      <c r="Q1358" s="72"/>
      <c r="R1358" s="72"/>
      <c r="S1358" s="72"/>
      <c r="T1358" s="72"/>
      <c r="U1358" s="72"/>
      <c r="V1358" s="72"/>
      <c r="W1358" s="72"/>
    </row>
    <row r="1359" spans="3:23" x14ac:dyDescent="0.25">
      <c r="C1359" s="72"/>
      <c r="D1359" s="72"/>
      <c r="E1359" s="72"/>
      <c r="F1359" s="72"/>
      <c r="G1359" s="72"/>
      <c r="H1359" s="72"/>
      <c r="I1359" s="72"/>
      <c r="J1359" s="72"/>
      <c r="K1359" s="72"/>
      <c r="L1359" s="72"/>
      <c r="M1359" s="72"/>
      <c r="N1359" s="72"/>
      <c r="O1359" s="72"/>
      <c r="P1359" s="72"/>
      <c r="Q1359" s="72"/>
      <c r="R1359" s="72"/>
      <c r="S1359" s="72"/>
      <c r="T1359" s="72"/>
      <c r="U1359" s="72"/>
      <c r="V1359" s="72"/>
      <c r="W1359" s="72"/>
    </row>
    <row r="1360" spans="3:23" x14ac:dyDescent="0.25">
      <c r="C1360" s="72"/>
      <c r="D1360" s="72"/>
      <c r="E1360" s="72"/>
      <c r="F1360" s="72"/>
      <c r="G1360" s="72"/>
      <c r="H1360" s="72"/>
      <c r="I1360" s="72"/>
      <c r="J1360" s="72"/>
      <c r="K1360" s="72"/>
      <c r="L1360" s="72"/>
      <c r="M1360" s="72"/>
      <c r="N1360" s="72"/>
      <c r="O1360" s="72"/>
      <c r="P1360" s="72"/>
      <c r="Q1360" s="72"/>
      <c r="R1360" s="72"/>
      <c r="S1360" s="72"/>
      <c r="T1360" s="72"/>
      <c r="U1360" s="72"/>
      <c r="V1360" s="72"/>
      <c r="W1360" s="72"/>
    </row>
    <row r="1361" spans="3:23" x14ac:dyDescent="0.25">
      <c r="C1361" s="72"/>
      <c r="D1361" s="72"/>
      <c r="E1361" s="72"/>
      <c r="F1361" s="72"/>
      <c r="G1361" s="72"/>
      <c r="H1361" s="72"/>
      <c r="I1361" s="72"/>
      <c r="J1361" s="72"/>
      <c r="K1361" s="72"/>
      <c r="L1361" s="72"/>
      <c r="M1361" s="72"/>
      <c r="N1361" s="72"/>
      <c r="O1361" s="72"/>
      <c r="P1361" s="72"/>
      <c r="Q1361" s="72"/>
      <c r="R1361" s="72"/>
      <c r="S1361" s="72"/>
      <c r="T1361" s="72"/>
      <c r="U1361" s="72"/>
      <c r="V1361" s="72"/>
      <c r="W1361" s="72"/>
    </row>
    <row r="1362" spans="3:23" x14ac:dyDescent="0.25">
      <c r="C1362" s="72"/>
      <c r="D1362" s="72"/>
      <c r="E1362" s="72"/>
      <c r="F1362" s="72"/>
      <c r="G1362" s="72"/>
      <c r="H1362" s="72"/>
      <c r="I1362" s="72"/>
      <c r="J1362" s="72"/>
      <c r="K1362" s="72"/>
      <c r="L1362" s="72"/>
      <c r="M1362" s="72"/>
      <c r="N1362" s="72"/>
      <c r="O1362" s="72"/>
      <c r="P1362" s="72"/>
      <c r="Q1362" s="72"/>
      <c r="R1362" s="72"/>
      <c r="S1362" s="72"/>
      <c r="T1362" s="72"/>
      <c r="U1362" s="72"/>
      <c r="V1362" s="72"/>
      <c r="W1362" s="72"/>
    </row>
    <row r="1363" spans="3:23" x14ac:dyDescent="0.25">
      <c r="C1363" s="72"/>
      <c r="D1363" s="72"/>
      <c r="E1363" s="72"/>
      <c r="F1363" s="72"/>
      <c r="G1363" s="72"/>
      <c r="H1363" s="72"/>
      <c r="I1363" s="72"/>
      <c r="J1363" s="72"/>
      <c r="K1363" s="72"/>
      <c r="L1363" s="72"/>
      <c r="M1363" s="72"/>
      <c r="N1363" s="72"/>
      <c r="O1363" s="72"/>
      <c r="P1363" s="72"/>
      <c r="Q1363" s="72"/>
      <c r="R1363" s="72"/>
      <c r="S1363" s="72"/>
      <c r="T1363" s="72"/>
      <c r="U1363" s="72"/>
      <c r="V1363" s="72"/>
      <c r="W1363" s="72"/>
    </row>
    <row r="1364" spans="3:23" x14ac:dyDescent="0.25">
      <c r="C1364" s="72"/>
      <c r="D1364" s="72"/>
      <c r="E1364" s="72"/>
      <c r="F1364" s="72"/>
      <c r="G1364" s="72"/>
      <c r="H1364" s="72"/>
      <c r="I1364" s="72"/>
      <c r="J1364" s="72"/>
      <c r="K1364" s="72"/>
      <c r="L1364" s="72"/>
      <c r="M1364" s="72"/>
      <c r="N1364" s="72"/>
      <c r="O1364" s="72"/>
      <c r="P1364" s="72"/>
      <c r="Q1364" s="72"/>
      <c r="R1364" s="72"/>
      <c r="S1364" s="72"/>
      <c r="T1364" s="72"/>
      <c r="U1364" s="72"/>
      <c r="V1364" s="72"/>
      <c r="W1364" s="72"/>
    </row>
    <row r="1365" spans="3:23" x14ac:dyDescent="0.25">
      <c r="C1365" s="72"/>
      <c r="D1365" s="72"/>
      <c r="E1365" s="72"/>
      <c r="F1365" s="72"/>
      <c r="G1365" s="72"/>
      <c r="H1365" s="72"/>
      <c r="I1365" s="72"/>
      <c r="J1365" s="72"/>
      <c r="K1365" s="72"/>
      <c r="L1365" s="72"/>
      <c r="M1365" s="72"/>
      <c r="N1365" s="72"/>
      <c r="O1365" s="72"/>
      <c r="P1365" s="72"/>
      <c r="Q1365" s="72"/>
      <c r="R1365" s="72"/>
      <c r="S1365" s="72"/>
      <c r="T1365" s="72"/>
      <c r="U1365" s="72"/>
      <c r="V1365" s="72"/>
      <c r="W1365" s="72"/>
    </row>
    <row r="1366" spans="3:23" x14ac:dyDescent="0.25">
      <c r="C1366" s="72"/>
      <c r="D1366" s="72"/>
      <c r="E1366" s="72"/>
      <c r="F1366" s="72"/>
      <c r="G1366" s="72"/>
      <c r="H1366" s="72"/>
      <c r="I1366" s="72"/>
      <c r="J1366" s="72"/>
      <c r="K1366" s="72"/>
      <c r="L1366" s="72"/>
      <c r="M1366" s="72"/>
      <c r="N1366" s="72"/>
      <c r="O1366" s="72"/>
      <c r="P1366" s="72"/>
      <c r="Q1366" s="72"/>
      <c r="R1366" s="72"/>
      <c r="S1366" s="72"/>
      <c r="T1366" s="72"/>
      <c r="U1366" s="72"/>
      <c r="V1366" s="72"/>
      <c r="W1366" s="72"/>
    </row>
    <row r="1367" spans="3:23" x14ac:dyDescent="0.25">
      <c r="C1367" s="72"/>
      <c r="D1367" s="72"/>
      <c r="E1367" s="72"/>
      <c r="F1367" s="72"/>
      <c r="G1367" s="72"/>
      <c r="H1367" s="72"/>
      <c r="I1367" s="72"/>
      <c r="J1367" s="72"/>
      <c r="K1367" s="72"/>
      <c r="L1367" s="72"/>
      <c r="M1367" s="72"/>
      <c r="N1367" s="72"/>
      <c r="O1367" s="72"/>
      <c r="P1367" s="72"/>
      <c r="Q1367" s="72"/>
      <c r="R1367" s="72"/>
      <c r="S1367" s="72"/>
      <c r="T1367" s="72"/>
      <c r="U1367" s="72"/>
      <c r="V1367" s="72"/>
      <c r="W1367" s="72"/>
    </row>
    <row r="1368" spans="3:23" x14ac:dyDescent="0.25">
      <c r="C1368" s="72"/>
      <c r="D1368" s="72"/>
      <c r="E1368" s="72"/>
      <c r="F1368" s="72"/>
      <c r="G1368" s="72"/>
      <c r="H1368" s="72"/>
      <c r="I1368" s="72"/>
      <c r="J1368" s="72"/>
      <c r="K1368" s="72"/>
      <c r="L1368" s="72"/>
      <c r="M1368" s="72"/>
      <c r="N1368" s="72"/>
      <c r="O1368" s="72"/>
      <c r="P1368" s="72"/>
      <c r="Q1368" s="72"/>
      <c r="R1368" s="72"/>
      <c r="S1368" s="72"/>
      <c r="T1368" s="72"/>
      <c r="U1368" s="72"/>
    </row>
    <row r="1369" spans="3:23" x14ac:dyDescent="0.25">
      <c r="C1369" s="72"/>
      <c r="D1369" s="72"/>
      <c r="E1369" s="72"/>
      <c r="F1369" s="72"/>
      <c r="G1369" s="72"/>
      <c r="H1369" s="72"/>
      <c r="I1369" s="72"/>
      <c r="J1369" s="72"/>
      <c r="K1369" s="72"/>
      <c r="L1369" s="72"/>
      <c r="M1369" s="72"/>
      <c r="N1369" s="72"/>
      <c r="O1369" s="72"/>
      <c r="P1369" s="72"/>
      <c r="Q1369" s="72"/>
      <c r="R1369" s="72"/>
      <c r="S1369" s="72"/>
      <c r="T1369" s="72"/>
      <c r="U1369" s="72"/>
    </row>
    <row r="1370" spans="3:23" x14ac:dyDescent="0.25">
      <c r="C1370" s="72"/>
      <c r="D1370" s="72"/>
      <c r="E1370" s="72"/>
      <c r="F1370" s="72"/>
      <c r="G1370" s="72"/>
      <c r="H1370" s="72"/>
      <c r="I1370" s="72"/>
      <c r="J1370" s="72"/>
      <c r="K1370" s="72"/>
      <c r="L1370" s="72"/>
      <c r="M1370" s="72"/>
      <c r="N1370" s="72"/>
      <c r="O1370" s="72"/>
      <c r="P1370" s="72"/>
      <c r="Q1370" s="72"/>
      <c r="R1370" s="72"/>
      <c r="S1370" s="72"/>
      <c r="T1370" s="72"/>
      <c r="U1370" s="72"/>
    </row>
    <row r="1371" spans="3:23" x14ac:dyDescent="0.25">
      <c r="C1371" s="72"/>
      <c r="D1371" s="72"/>
      <c r="E1371" s="72"/>
      <c r="F1371" s="72"/>
      <c r="G1371" s="72"/>
      <c r="H1371" s="72"/>
      <c r="I1371" s="72"/>
      <c r="J1371" s="72"/>
      <c r="K1371" s="72"/>
      <c r="L1371" s="72"/>
      <c r="M1371" s="72"/>
      <c r="N1371" s="72"/>
      <c r="O1371" s="72"/>
      <c r="P1371" s="72"/>
      <c r="Q1371" s="72"/>
      <c r="R1371" s="72"/>
      <c r="S1371" s="72"/>
      <c r="T1371" s="72"/>
      <c r="U1371" s="72"/>
    </row>
    <row r="1372" spans="3:23" x14ac:dyDescent="0.25">
      <c r="C1372" s="72"/>
      <c r="D1372" s="72"/>
      <c r="E1372" s="72"/>
      <c r="F1372" s="72"/>
      <c r="G1372" s="72"/>
      <c r="H1372" s="72"/>
      <c r="I1372" s="72"/>
      <c r="J1372" s="72"/>
      <c r="K1372" s="72"/>
      <c r="L1372" s="72"/>
      <c r="M1372" s="72"/>
      <c r="N1372" s="72"/>
      <c r="O1372" s="72"/>
      <c r="P1372" s="72"/>
      <c r="Q1372" s="72"/>
      <c r="R1372" s="72"/>
      <c r="S1372" s="72"/>
      <c r="T1372" s="72"/>
      <c r="U1372" s="72"/>
    </row>
    <row r="1373" spans="3:23" x14ac:dyDescent="0.25">
      <c r="C1373" s="72"/>
      <c r="D1373" s="72"/>
      <c r="E1373" s="72"/>
      <c r="F1373" s="72"/>
      <c r="G1373" s="72"/>
      <c r="H1373" s="72"/>
      <c r="I1373" s="72"/>
      <c r="J1373" s="72"/>
      <c r="K1373" s="72"/>
      <c r="L1373" s="72"/>
      <c r="M1373" s="72"/>
      <c r="N1373" s="72"/>
      <c r="O1373" s="72"/>
      <c r="P1373" s="72"/>
      <c r="Q1373" s="72"/>
      <c r="R1373" s="72"/>
      <c r="S1373" s="72"/>
      <c r="T1373" s="72"/>
      <c r="U1373" s="72"/>
    </row>
    <row r="1374" spans="3:23" x14ac:dyDescent="0.25">
      <c r="C1374" s="72"/>
      <c r="D1374" s="72"/>
      <c r="E1374" s="72"/>
      <c r="F1374" s="72"/>
      <c r="G1374" s="72"/>
      <c r="H1374" s="72"/>
      <c r="I1374" s="72"/>
      <c r="J1374" s="72"/>
      <c r="K1374" s="72"/>
      <c r="L1374" s="72"/>
      <c r="M1374" s="72"/>
      <c r="N1374" s="72"/>
      <c r="O1374" s="72"/>
      <c r="P1374" s="72"/>
      <c r="Q1374" s="72"/>
      <c r="R1374" s="72"/>
      <c r="S1374" s="72"/>
      <c r="T1374" s="72"/>
      <c r="U1374" s="72"/>
    </row>
    <row r="1375" spans="3:23" x14ac:dyDescent="0.25">
      <c r="C1375" s="72"/>
      <c r="D1375" s="72"/>
      <c r="E1375" s="72"/>
      <c r="F1375" s="72"/>
      <c r="G1375" s="72"/>
      <c r="H1375" s="72"/>
      <c r="I1375" s="72"/>
      <c r="J1375" s="72"/>
      <c r="K1375" s="72"/>
      <c r="L1375" s="72"/>
      <c r="M1375" s="72"/>
      <c r="N1375" s="72"/>
      <c r="O1375" s="72"/>
      <c r="P1375" s="72"/>
      <c r="Q1375" s="72"/>
      <c r="R1375" s="72"/>
      <c r="S1375" s="72"/>
      <c r="T1375" s="72"/>
      <c r="U1375" s="72"/>
    </row>
    <row r="1376" spans="3:23" x14ac:dyDescent="0.25">
      <c r="C1376" s="72"/>
      <c r="D1376" s="72"/>
      <c r="E1376" s="72"/>
      <c r="F1376" s="72"/>
      <c r="G1376" s="72"/>
      <c r="H1376" s="72"/>
      <c r="I1376" s="72"/>
      <c r="J1376" s="72"/>
      <c r="K1376" s="72"/>
      <c r="L1376" s="72"/>
      <c r="M1376" s="72"/>
      <c r="N1376" s="72"/>
      <c r="O1376" s="72"/>
      <c r="P1376" s="72"/>
      <c r="Q1376" s="72"/>
      <c r="R1376" s="72"/>
      <c r="S1376" s="72"/>
      <c r="T1376" s="72"/>
      <c r="U1376" s="72"/>
    </row>
    <row r="1377" spans="3:21" x14ac:dyDescent="0.25">
      <c r="C1377" s="72"/>
      <c r="D1377" s="72"/>
      <c r="E1377" s="72"/>
      <c r="F1377" s="72"/>
      <c r="G1377" s="72"/>
      <c r="H1377" s="72"/>
      <c r="I1377" s="72"/>
      <c r="J1377" s="72"/>
      <c r="K1377" s="72"/>
      <c r="L1377" s="72"/>
      <c r="M1377" s="72"/>
      <c r="N1377" s="72"/>
      <c r="O1377" s="72"/>
      <c r="P1377" s="72"/>
      <c r="Q1377" s="72"/>
      <c r="R1377" s="72"/>
      <c r="S1377" s="72"/>
      <c r="T1377" s="72"/>
      <c r="U1377" s="72"/>
    </row>
    <row r="1378" spans="3:21" x14ac:dyDescent="0.25">
      <c r="C1378" s="72"/>
      <c r="D1378" s="72"/>
      <c r="E1378" s="72"/>
      <c r="F1378" s="72"/>
      <c r="G1378" s="72"/>
      <c r="H1378" s="72"/>
      <c r="I1378" s="72"/>
      <c r="J1378" s="72"/>
      <c r="K1378" s="72"/>
      <c r="L1378" s="72"/>
      <c r="M1378" s="72"/>
      <c r="N1378" s="72"/>
      <c r="O1378" s="72"/>
      <c r="P1378" s="72"/>
      <c r="Q1378" s="72"/>
      <c r="R1378" s="72"/>
      <c r="S1378" s="72"/>
      <c r="T1378" s="72"/>
      <c r="U1378" s="72"/>
    </row>
    <row r="1855" spans="3:3" x14ac:dyDescent="0.25">
      <c r="C1855" s="71"/>
    </row>
    <row r="1856" spans="3:3" x14ac:dyDescent="0.25">
      <c r="C1856" s="71"/>
    </row>
    <row r="1857" spans="3:13" x14ac:dyDescent="0.25">
      <c r="C1857" s="71"/>
    </row>
    <row r="1858" spans="3:13" x14ac:dyDescent="0.25">
      <c r="C1858" s="71"/>
    </row>
    <row r="1859" spans="3:13" x14ac:dyDescent="0.25">
      <c r="C1859" s="71"/>
    </row>
    <row r="1860" spans="3:13" x14ac:dyDescent="0.25">
      <c r="C1860" s="71"/>
    </row>
    <row r="1861" spans="3:13" x14ac:dyDescent="0.25">
      <c r="C1861" s="71"/>
    </row>
    <row r="1862" spans="3:13" x14ac:dyDescent="0.25">
      <c r="C1862" s="71"/>
    </row>
    <row r="1863" spans="3:13" x14ac:dyDescent="0.25">
      <c r="C1863" s="71"/>
    </row>
    <row r="1864" spans="3:13" x14ac:dyDescent="0.25">
      <c r="C1864" s="73"/>
      <c r="D1864" s="69"/>
      <c r="E1864" s="69"/>
      <c r="F1864" s="69"/>
      <c r="G1864" s="69"/>
      <c r="H1864" s="69"/>
      <c r="I1864" s="69"/>
      <c r="J1864" s="69"/>
      <c r="K1864" s="69"/>
      <c r="L1864" s="69"/>
      <c r="M1864" s="69"/>
    </row>
    <row r="1865" spans="3:13" x14ac:dyDescent="0.25">
      <c r="C1865" s="73"/>
      <c r="D1865" s="69"/>
      <c r="E1865" s="69"/>
      <c r="F1865" s="69"/>
      <c r="G1865" s="69"/>
      <c r="H1865" s="69"/>
      <c r="I1865" s="69"/>
      <c r="J1865" s="69"/>
      <c r="K1865" s="69"/>
      <c r="L1865" s="69"/>
      <c r="M1865" s="69"/>
    </row>
    <row r="1866" spans="3:13" x14ac:dyDescent="0.25">
      <c r="C1866" s="71"/>
    </row>
    <row r="1867" spans="3:13" x14ac:dyDescent="0.25">
      <c r="C1867" s="71"/>
    </row>
    <row r="1868" spans="3:13" x14ac:dyDescent="0.25">
      <c r="C1868" s="71"/>
    </row>
    <row r="1869" spans="3:13" x14ac:dyDescent="0.25">
      <c r="C1869" s="71"/>
    </row>
    <row r="1870" spans="3:13" x14ac:dyDescent="0.25">
      <c r="C1870" s="71"/>
    </row>
    <row r="1871" spans="3:13" x14ac:dyDescent="0.25">
      <c r="C1871" s="71"/>
    </row>
    <row r="1872" spans="3:13" x14ac:dyDescent="0.25">
      <c r="C1872" s="71"/>
    </row>
    <row r="1924" spans="3:3" x14ac:dyDescent="0.25">
      <c r="C1924" s="71"/>
    </row>
    <row r="1925" spans="3:3" x14ac:dyDescent="0.25">
      <c r="C1925" s="71"/>
    </row>
    <row r="1926" spans="3:3" x14ac:dyDescent="0.25">
      <c r="C1926" s="71"/>
    </row>
    <row r="1927" spans="3:3" x14ac:dyDescent="0.25">
      <c r="C1927" s="71"/>
    </row>
    <row r="1928" spans="3:3" x14ac:dyDescent="0.25">
      <c r="C1928" s="71"/>
    </row>
    <row r="1929" spans="3:3" x14ac:dyDescent="0.25">
      <c r="C1929" s="71"/>
    </row>
    <row r="1930" spans="3:3" x14ac:dyDescent="0.25">
      <c r="C1930" s="71"/>
    </row>
    <row r="1931" spans="3:3" x14ac:dyDescent="0.25">
      <c r="C1931" s="71"/>
    </row>
    <row r="1932" spans="3:3" x14ac:dyDescent="0.25">
      <c r="C1932" s="71"/>
    </row>
    <row r="1933" spans="3:3" x14ac:dyDescent="0.25">
      <c r="C1933" s="71"/>
    </row>
    <row r="1934" spans="3:3" x14ac:dyDescent="0.25">
      <c r="C1934" s="71"/>
    </row>
    <row r="1935" spans="3:3" x14ac:dyDescent="0.25">
      <c r="C1935" s="71"/>
    </row>
    <row r="1936" spans="3:3" x14ac:dyDescent="0.25">
      <c r="C1936" s="71"/>
    </row>
    <row r="1937" spans="3:3" x14ac:dyDescent="0.25">
      <c r="C1937" s="71"/>
    </row>
    <row r="1938" spans="3:3" x14ac:dyDescent="0.25">
      <c r="C1938" s="71"/>
    </row>
    <row r="1939" spans="3:3" x14ac:dyDescent="0.25">
      <c r="C1939" s="71"/>
    </row>
    <row r="1940" spans="3:3" x14ac:dyDescent="0.25">
      <c r="C1940" s="71"/>
    </row>
    <row r="1941" spans="3:3" x14ac:dyDescent="0.25">
      <c r="C1941" s="71"/>
    </row>
    <row r="1942" spans="3:3" x14ac:dyDescent="0.25">
      <c r="C1942" s="71"/>
    </row>
    <row r="1943" spans="3:3" x14ac:dyDescent="0.25">
      <c r="C1943" s="71"/>
    </row>
    <row r="1944" spans="3:3" x14ac:dyDescent="0.25">
      <c r="C1944" s="71"/>
    </row>
    <row r="1945" spans="3:3" x14ac:dyDescent="0.25">
      <c r="C1945" s="71"/>
    </row>
    <row r="1946" spans="3:3" x14ac:dyDescent="0.25">
      <c r="C1946" s="71"/>
    </row>
    <row r="1947" spans="3:3" x14ac:dyDescent="0.25">
      <c r="C1947" s="71"/>
    </row>
    <row r="1948" spans="3:3" x14ac:dyDescent="0.25">
      <c r="C1948" s="71"/>
    </row>
    <row r="1949" spans="3:3" x14ac:dyDescent="0.25">
      <c r="C1949" s="71"/>
    </row>
    <row r="1950" spans="3:3" x14ac:dyDescent="0.25">
      <c r="C1950" s="71"/>
    </row>
    <row r="1951" spans="3:3" x14ac:dyDescent="0.25">
      <c r="C1951" s="71"/>
    </row>
    <row r="1952" spans="3:3" x14ac:dyDescent="0.25">
      <c r="C1952" s="71"/>
    </row>
    <row r="1953" spans="3:3" x14ac:dyDescent="0.25">
      <c r="C1953" s="71"/>
    </row>
    <row r="1954" spans="3:3" x14ac:dyDescent="0.25">
      <c r="C1954" s="71"/>
    </row>
    <row r="1955" spans="3:3" x14ac:dyDescent="0.25">
      <c r="C1955" s="71"/>
    </row>
    <row r="1956" spans="3:3" x14ac:dyDescent="0.25">
      <c r="C1956" s="71"/>
    </row>
    <row r="1957" spans="3:3" x14ac:dyDescent="0.25">
      <c r="C1957" s="71"/>
    </row>
    <row r="1958" spans="3:3" x14ac:dyDescent="0.25">
      <c r="C1958" s="71"/>
    </row>
    <row r="1959" spans="3:3" x14ac:dyDescent="0.25">
      <c r="C1959" s="71"/>
    </row>
    <row r="1960" spans="3:3" x14ac:dyDescent="0.25">
      <c r="C1960" s="71"/>
    </row>
  </sheetData>
  <sheetProtection sheet="1" objects="1" scenarios="1"/>
  <dataConsolidate/>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G27"/>
  <sheetViews>
    <sheetView showRowColHeaders="0" zoomScaleNormal="100" workbookViewId="0"/>
  </sheetViews>
  <sheetFormatPr defaultColWidth="9.140625" defaultRowHeight="15" x14ac:dyDescent="0.25"/>
  <cols>
    <col min="1" max="16384" width="9.140625" style="1"/>
  </cols>
  <sheetData>
    <row r="1" spans="1:7" x14ac:dyDescent="0.25">
      <c r="A1" s="1" t="s">
        <v>170</v>
      </c>
      <c r="B1" s="1" t="s">
        <v>171</v>
      </c>
      <c r="C1" s="1" t="s">
        <v>172</v>
      </c>
      <c r="D1" s="1" t="s">
        <v>173</v>
      </c>
      <c r="E1" s="1" t="s">
        <v>174</v>
      </c>
      <c r="F1" s="1" t="s">
        <v>175</v>
      </c>
      <c r="G1" s="1" t="s">
        <v>176</v>
      </c>
    </row>
    <row r="2" spans="1:7" x14ac:dyDescent="0.25">
      <c r="A2" s="1" t="s">
        <v>144</v>
      </c>
      <c r="B2" s="1">
        <v>1</v>
      </c>
      <c r="C2" s="1">
        <v>0</v>
      </c>
      <c r="D2" s="1">
        <v>0</v>
      </c>
      <c r="E2" s="1">
        <v>1</v>
      </c>
      <c r="F2" s="1">
        <v>0</v>
      </c>
      <c r="G2" s="1">
        <v>0</v>
      </c>
    </row>
    <row r="3" spans="1:7" x14ac:dyDescent="0.25">
      <c r="A3" s="1" t="s">
        <v>145</v>
      </c>
      <c r="B3" s="1">
        <v>0</v>
      </c>
      <c r="C3" s="1">
        <v>1</v>
      </c>
      <c r="D3" s="1">
        <v>1</v>
      </c>
      <c r="E3" s="1">
        <v>1</v>
      </c>
      <c r="F3" s="1">
        <v>0</v>
      </c>
      <c r="G3" s="1">
        <v>0</v>
      </c>
    </row>
    <row r="4" spans="1:7" x14ac:dyDescent="0.25">
      <c r="A4" s="1" t="s">
        <v>146</v>
      </c>
      <c r="B4" s="1">
        <v>1</v>
      </c>
      <c r="C4" s="1">
        <v>0</v>
      </c>
      <c r="D4" s="1">
        <v>0</v>
      </c>
      <c r="E4" s="1">
        <v>0</v>
      </c>
      <c r="F4" s="1">
        <v>1</v>
      </c>
      <c r="G4" s="1">
        <v>0</v>
      </c>
    </row>
    <row r="5" spans="1:7" x14ac:dyDescent="0.25">
      <c r="A5" s="1" t="s">
        <v>147</v>
      </c>
      <c r="B5" s="1">
        <v>1</v>
      </c>
      <c r="C5" s="1">
        <v>1</v>
      </c>
      <c r="D5" s="1">
        <v>0</v>
      </c>
      <c r="E5" s="1">
        <v>0</v>
      </c>
      <c r="F5" s="1">
        <v>1</v>
      </c>
      <c r="G5" s="1">
        <v>1</v>
      </c>
    </row>
    <row r="6" spans="1:7" x14ac:dyDescent="0.25">
      <c r="A6" s="1" t="s">
        <v>148</v>
      </c>
      <c r="B6" s="1">
        <v>0</v>
      </c>
      <c r="C6" s="1">
        <v>0</v>
      </c>
      <c r="D6" s="1">
        <v>0</v>
      </c>
      <c r="E6" s="1">
        <v>1</v>
      </c>
      <c r="F6" s="1">
        <v>1</v>
      </c>
      <c r="G6" s="1">
        <v>0</v>
      </c>
    </row>
    <row r="7" spans="1:7" x14ac:dyDescent="0.25">
      <c r="A7" s="1" t="s">
        <v>149</v>
      </c>
      <c r="B7" s="1">
        <v>0</v>
      </c>
      <c r="C7" s="1">
        <v>0</v>
      </c>
      <c r="D7" s="1">
        <v>0</v>
      </c>
      <c r="E7" s="1">
        <v>1</v>
      </c>
      <c r="F7" s="1">
        <v>1</v>
      </c>
      <c r="G7" s="1">
        <v>0</v>
      </c>
    </row>
    <row r="8" spans="1:7" x14ac:dyDescent="0.25">
      <c r="A8" s="1" t="s">
        <v>150</v>
      </c>
      <c r="B8" s="1">
        <v>0</v>
      </c>
      <c r="C8" s="1">
        <v>1</v>
      </c>
      <c r="D8" s="1">
        <v>0</v>
      </c>
      <c r="E8" s="1">
        <v>0</v>
      </c>
      <c r="F8" s="1">
        <v>1</v>
      </c>
      <c r="G8" s="1">
        <v>1</v>
      </c>
    </row>
    <row r="9" spans="1:7" x14ac:dyDescent="0.25">
      <c r="A9" s="1" t="s">
        <v>151</v>
      </c>
      <c r="B9" s="1">
        <v>0</v>
      </c>
      <c r="C9" s="1">
        <v>0</v>
      </c>
      <c r="D9" s="1">
        <v>1</v>
      </c>
      <c r="E9" s="1">
        <v>1</v>
      </c>
      <c r="F9" s="1">
        <v>0</v>
      </c>
      <c r="G9" s="1">
        <v>0</v>
      </c>
    </row>
    <row r="10" spans="1:7" x14ac:dyDescent="0.25">
      <c r="A10" s="1" t="s">
        <v>152</v>
      </c>
      <c r="B10" s="1">
        <v>0</v>
      </c>
      <c r="C10" s="1">
        <v>0</v>
      </c>
      <c r="D10" s="1">
        <v>0</v>
      </c>
      <c r="E10" s="1">
        <v>1</v>
      </c>
      <c r="F10" s="1">
        <v>0</v>
      </c>
      <c r="G10" s="1">
        <v>0</v>
      </c>
    </row>
    <row r="11" spans="1:7" x14ac:dyDescent="0.25">
      <c r="A11" s="1" t="s">
        <v>153</v>
      </c>
      <c r="B11" s="1">
        <v>0</v>
      </c>
      <c r="C11" s="1">
        <v>0</v>
      </c>
      <c r="D11" s="1">
        <v>0</v>
      </c>
      <c r="E11" s="1">
        <v>1</v>
      </c>
      <c r="F11" s="1">
        <v>0</v>
      </c>
      <c r="G11" s="1">
        <v>0</v>
      </c>
    </row>
    <row r="12" spans="1:7" x14ac:dyDescent="0.25">
      <c r="A12" s="1" t="s">
        <v>154</v>
      </c>
      <c r="B12" s="1">
        <v>1</v>
      </c>
      <c r="C12" s="1">
        <v>0</v>
      </c>
      <c r="D12" s="1">
        <v>0</v>
      </c>
      <c r="E12" s="1">
        <v>0</v>
      </c>
      <c r="F12" s="1">
        <v>1</v>
      </c>
      <c r="G12" s="1">
        <v>0</v>
      </c>
    </row>
    <row r="13" spans="1:7" x14ac:dyDescent="0.25">
      <c r="A13" s="1" t="s">
        <v>155</v>
      </c>
      <c r="B13" s="1">
        <v>0</v>
      </c>
      <c r="C13" s="1">
        <v>0</v>
      </c>
      <c r="D13" s="1">
        <v>0</v>
      </c>
      <c r="E13" s="1">
        <v>1</v>
      </c>
      <c r="F13" s="1">
        <v>0</v>
      </c>
      <c r="G13" s="1">
        <v>0</v>
      </c>
    </row>
    <row r="14" spans="1:7" x14ac:dyDescent="0.25">
      <c r="A14" s="1" t="s">
        <v>156</v>
      </c>
      <c r="B14" s="1">
        <v>0</v>
      </c>
      <c r="C14" s="1">
        <v>0</v>
      </c>
      <c r="D14" s="1">
        <v>1</v>
      </c>
      <c r="E14" s="1">
        <v>1</v>
      </c>
      <c r="F14" s="1">
        <v>1</v>
      </c>
      <c r="G14" s="1">
        <v>1</v>
      </c>
    </row>
    <row r="15" spans="1:7" x14ac:dyDescent="0.25">
      <c r="A15" s="1" t="s">
        <v>157</v>
      </c>
      <c r="B15" s="1">
        <v>0</v>
      </c>
      <c r="C15" s="1">
        <v>0</v>
      </c>
      <c r="D15" s="1">
        <v>0</v>
      </c>
      <c r="E15" s="1">
        <v>1</v>
      </c>
      <c r="F15" s="1">
        <v>0</v>
      </c>
      <c r="G15" s="1">
        <v>0</v>
      </c>
    </row>
    <row r="16" spans="1:7" x14ac:dyDescent="0.25">
      <c r="A16" s="1" t="s">
        <v>158</v>
      </c>
      <c r="B16" s="1">
        <v>0</v>
      </c>
      <c r="C16" s="1">
        <v>1</v>
      </c>
      <c r="D16" s="1">
        <v>1</v>
      </c>
      <c r="E16" s="1">
        <v>0</v>
      </c>
      <c r="F16" s="1">
        <v>0</v>
      </c>
      <c r="G16" s="1">
        <v>0</v>
      </c>
    </row>
    <row r="17" spans="1:7" x14ac:dyDescent="0.25">
      <c r="A17" s="1" t="s">
        <v>159</v>
      </c>
      <c r="B17" s="1">
        <v>0</v>
      </c>
      <c r="C17" s="1">
        <v>1</v>
      </c>
      <c r="D17" s="1">
        <v>0</v>
      </c>
      <c r="E17" s="1">
        <v>0</v>
      </c>
      <c r="F17" s="1">
        <v>0</v>
      </c>
      <c r="G17" s="1">
        <v>0</v>
      </c>
    </row>
    <row r="18" spans="1:7" x14ac:dyDescent="0.25">
      <c r="A18" s="1" t="s">
        <v>160</v>
      </c>
      <c r="B18" s="1">
        <v>1</v>
      </c>
      <c r="C18" s="1">
        <v>1</v>
      </c>
      <c r="D18" s="1">
        <v>0</v>
      </c>
      <c r="E18" s="1">
        <v>0</v>
      </c>
      <c r="F18" s="1">
        <v>1</v>
      </c>
      <c r="G18" s="1">
        <v>1</v>
      </c>
    </row>
    <row r="19" spans="1:7" x14ac:dyDescent="0.25">
      <c r="A19" s="1" t="s">
        <v>161</v>
      </c>
      <c r="B19" s="1">
        <v>1</v>
      </c>
      <c r="C19" s="1">
        <v>1</v>
      </c>
      <c r="D19" s="1">
        <v>1</v>
      </c>
      <c r="E19" s="1">
        <v>1</v>
      </c>
      <c r="F19" s="1">
        <v>1</v>
      </c>
      <c r="G19" s="1">
        <v>1</v>
      </c>
    </row>
    <row r="20" spans="1:7" x14ac:dyDescent="0.25">
      <c r="A20" s="1" t="s">
        <v>162</v>
      </c>
      <c r="B20" s="1">
        <v>0</v>
      </c>
      <c r="C20" s="1">
        <v>1</v>
      </c>
      <c r="D20" s="1">
        <v>0</v>
      </c>
      <c r="E20" s="1">
        <v>0</v>
      </c>
      <c r="F20" s="1">
        <v>0</v>
      </c>
      <c r="G20" s="1">
        <v>0</v>
      </c>
    </row>
    <row r="21" spans="1:7" x14ac:dyDescent="0.25">
      <c r="A21" s="1" t="s">
        <v>163</v>
      </c>
      <c r="B21" s="1">
        <v>0</v>
      </c>
      <c r="C21" s="1">
        <v>0</v>
      </c>
      <c r="D21" s="1">
        <v>0</v>
      </c>
      <c r="E21" s="1">
        <v>1</v>
      </c>
      <c r="F21" s="1">
        <v>0</v>
      </c>
      <c r="G21" s="1">
        <v>0</v>
      </c>
    </row>
    <row r="22" spans="1:7" x14ac:dyDescent="0.25">
      <c r="A22" s="1" t="s">
        <v>164</v>
      </c>
      <c r="B22" s="1">
        <v>0</v>
      </c>
      <c r="C22" s="1">
        <v>1</v>
      </c>
      <c r="D22" s="1">
        <v>0</v>
      </c>
      <c r="E22" s="1">
        <v>1</v>
      </c>
      <c r="F22" s="1">
        <v>0</v>
      </c>
      <c r="G22" s="1">
        <v>1</v>
      </c>
    </row>
    <row r="23" spans="1:7" x14ac:dyDescent="0.25">
      <c r="A23" s="1" t="s">
        <v>165</v>
      </c>
      <c r="B23" s="1">
        <v>1</v>
      </c>
      <c r="C23" s="1">
        <v>0</v>
      </c>
      <c r="D23" s="1">
        <v>0</v>
      </c>
      <c r="E23" s="1">
        <v>0</v>
      </c>
      <c r="F23" s="1">
        <v>1</v>
      </c>
      <c r="G23" s="1">
        <v>0</v>
      </c>
    </row>
    <row r="24" spans="1:7" x14ac:dyDescent="0.25">
      <c r="A24" s="1" t="s">
        <v>166</v>
      </c>
      <c r="B24" s="1">
        <v>1</v>
      </c>
      <c r="C24" s="1">
        <v>1</v>
      </c>
      <c r="D24" s="1">
        <v>1</v>
      </c>
      <c r="E24" s="1">
        <v>1</v>
      </c>
      <c r="F24" s="1">
        <v>1</v>
      </c>
      <c r="G24" s="1">
        <v>1</v>
      </c>
    </row>
    <row r="25" spans="1:7" x14ac:dyDescent="0.25">
      <c r="A25" s="1" t="s">
        <v>167</v>
      </c>
      <c r="B25" s="1">
        <v>0</v>
      </c>
      <c r="C25" s="1">
        <v>1</v>
      </c>
      <c r="D25" s="1">
        <v>0</v>
      </c>
      <c r="E25" s="1">
        <v>1</v>
      </c>
      <c r="F25" s="1">
        <v>0</v>
      </c>
      <c r="G25" s="1">
        <v>1</v>
      </c>
    </row>
    <row r="26" spans="1:7" x14ac:dyDescent="0.25">
      <c r="A26" s="1" t="s">
        <v>168</v>
      </c>
      <c r="B26" s="1">
        <v>0</v>
      </c>
      <c r="C26" s="1">
        <v>1</v>
      </c>
      <c r="D26" s="1">
        <v>1</v>
      </c>
      <c r="E26" s="1">
        <v>1</v>
      </c>
      <c r="F26" s="1">
        <v>1</v>
      </c>
      <c r="G26" s="1">
        <v>1</v>
      </c>
    </row>
    <row r="27" spans="1:7" x14ac:dyDescent="0.25">
      <c r="A27" s="1" t="s">
        <v>169</v>
      </c>
      <c r="B27" s="1">
        <v>0</v>
      </c>
      <c r="C27" s="1">
        <v>0</v>
      </c>
      <c r="D27" s="1">
        <v>0</v>
      </c>
      <c r="E27" s="1">
        <v>1</v>
      </c>
      <c r="F27" s="1">
        <v>0</v>
      </c>
      <c r="G27" s="1">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U1"/>
  <sheetViews>
    <sheetView showRowColHeaders="0" zoomScaleNormal="100" workbookViewId="0">
      <selection sqref="A1:U1"/>
    </sheetView>
  </sheetViews>
  <sheetFormatPr defaultColWidth="9.140625" defaultRowHeight="15" x14ac:dyDescent="0.25"/>
  <cols>
    <col min="1" max="1" width="16.85546875" style="1" customWidth="1"/>
    <col min="2" max="2" width="13" style="1" customWidth="1"/>
    <col min="3" max="3" width="9.140625" style="1"/>
    <col min="4" max="4" width="11.7109375" style="1" customWidth="1"/>
    <col min="5" max="5" width="17.42578125" style="1" customWidth="1"/>
    <col min="6" max="6" width="37.28515625" style="1" customWidth="1"/>
    <col min="7" max="7" width="33" style="1" customWidth="1"/>
    <col min="8" max="8" width="40.7109375" style="1" customWidth="1"/>
    <col min="9" max="9" width="33" style="1" customWidth="1"/>
    <col min="10" max="10" width="40.7109375" style="1" customWidth="1"/>
    <col min="11" max="11" width="33" style="1" customWidth="1"/>
    <col min="12" max="12" width="40.7109375" style="1" customWidth="1"/>
    <col min="13" max="13" width="33" style="1" customWidth="1"/>
    <col min="14" max="14" width="38.140625" style="1" customWidth="1"/>
    <col min="15" max="15" width="26.7109375" style="1" customWidth="1"/>
    <col min="16" max="16" width="26.42578125" style="1" customWidth="1"/>
    <col min="17" max="17" width="27.28515625" style="1" customWidth="1"/>
    <col min="18" max="18" width="27" style="1" customWidth="1"/>
    <col min="19" max="19" width="31.140625" style="1" customWidth="1"/>
    <col min="20" max="20" width="29.85546875" style="1" customWidth="1"/>
    <col min="21" max="21" width="42" style="1" customWidth="1"/>
    <col min="22" max="23" width="27.28515625" style="1" customWidth="1"/>
    <col min="24" max="24" width="45.42578125" style="1" customWidth="1"/>
    <col min="25" max="25" width="52.28515625" style="1" customWidth="1"/>
    <col min="26" max="26" width="48.42578125" style="1" customWidth="1"/>
    <col min="27" max="27" width="61.42578125" style="1" customWidth="1"/>
    <col min="28" max="28" width="29.140625" style="1" customWidth="1"/>
    <col min="29" max="29" width="27.28515625" style="1" customWidth="1"/>
    <col min="30" max="30" width="31.85546875" style="1" customWidth="1"/>
    <col min="31" max="31" width="28" style="1" customWidth="1"/>
    <col min="32" max="32" width="31.140625" style="1" customWidth="1"/>
    <col min="33" max="33" width="46" style="1" customWidth="1"/>
    <col min="34" max="34" width="28" style="1" customWidth="1"/>
    <col min="35" max="35" width="16.85546875" style="1" customWidth="1"/>
    <col min="36" max="36" width="21.7109375" style="1" customWidth="1"/>
    <col min="37" max="37" width="36" style="1" customWidth="1"/>
    <col min="38" max="38" width="14.85546875" style="1" customWidth="1"/>
    <col min="39" max="39" width="21.85546875" style="1" customWidth="1"/>
    <col min="40" max="40" width="33.42578125" style="1" customWidth="1"/>
    <col min="41" max="41" width="13" style="1" customWidth="1"/>
    <col min="42" max="42" width="20.28515625" style="1" customWidth="1"/>
    <col min="43" max="43" width="25.42578125" style="1" customWidth="1"/>
    <col min="44" max="44" width="19.7109375" style="1" customWidth="1"/>
    <col min="45" max="45" width="18.7109375" style="1" customWidth="1"/>
    <col min="46" max="46" width="43.42578125" style="1" customWidth="1"/>
    <col min="47" max="47" width="25.7109375" style="1" customWidth="1"/>
    <col min="48" max="48" width="26.42578125" style="1" customWidth="1"/>
    <col min="49" max="49" width="31.28515625" style="1" customWidth="1"/>
    <col min="50" max="50" width="15.7109375" style="1" customWidth="1"/>
    <col min="51" max="51" width="26" style="1" customWidth="1"/>
    <col min="52" max="52" width="26.42578125" style="1" customWidth="1"/>
    <col min="53" max="53" width="28" style="1" customWidth="1"/>
    <col min="54" max="62" width="9.140625" style="1"/>
    <col min="63" max="65" width="9.28515625" style="1" customWidth="1"/>
    <col min="66" max="74" width="9.140625" style="1"/>
    <col min="75" max="80" width="9.28515625" style="1" customWidth="1"/>
    <col min="81" max="89" width="10.28515625" style="1" customWidth="1"/>
    <col min="90" max="95" width="11.28515625" style="1" customWidth="1"/>
    <col min="96" max="104" width="10.28515625" style="1" customWidth="1"/>
    <col min="105" max="110" width="11.28515625" style="1" customWidth="1"/>
    <col min="111" max="119" width="9.140625" style="1"/>
    <col min="120" max="125" width="9.28515625" style="1" customWidth="1"/>
    <col min="126" max="134" width="9.140625" style="1"/>
    <col min="135" max="143" width="9.28515625" style="1" customWidth="1"/>
    <col min="144" max="16384" width="9.140625" style="1"/>
  </cols>
  <sheetData>
    <row r="1" spans="1:21" ht="15.75" thickBot="1" x14ac:dyDescent="0.3">
      <c r="A1" s="195" t="s">
        <v>49</v>
      </c>
      <c r="B1" s="195" t="s">
        <v>136</v>
      </c>
      <c r="C1" s="195" t="s">
        <v>79</v>
      </c>
      <c r="D1" s="195" t="s">
        <v>137</v>
      </c>
      <c r="E1" s="195" t="s">
        <v>177</v>
      </c>
      <c r="F1" s="195" t="s">
        <v>0</v>
      </c>
      <c r="G1" s="195" t="s">
        <v>196</v>
      </c>
      <c r="H1" s="195" t="s">
        <v>117</v>
      </c>
      <c r="I1" s="195" t="s">
        <v>197</v>
      </c>
      <c r="J1" s="195" t="s">
        <v>134</v>
      </c>
      <c r="K1" s="195" t="s">
        <v>236</v>
      </c>
      <c r="L1" s="195" t="s">
        <v>237</v>
      </c>
      <c r="M1" s="195" t="s">
        <v>4</v>
      </c>
      <c r="N1" s="195" t="s">
        <v>91</v>
      </c>
      <c r="O1" s="195" t="s">
        <v>92</v>
      </c>
      <c r="P1" s="195" t="s">
        <v>198</v>
      </c>
      <c r="Q1" s="195" t="s">
        <v>171</v>
      </c>
      <c r="R1" s="195" t="s">
        <v>172</v>
      </c>
      <c r="S1" s="195" t="s">
        <v>173</v>
      </c>
      <c r="T1" s="195" t="s">
        <v>174</v>
      </c>
      <c r="U1" s="195" t="s">
        <v>175</v>
      </c>
    </row>
  </sheetData>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61" stopIfTrue="1" id="{E4D30DA4-BA54-4D9A-BBAC-259EEFDF66EE}">
            <xm:f>INDEX('Design &amp; Evaluate'!$C$12:$C$12,MATCH(Q$8, 'Design &amp; Evaluate'!$B$12:$B$12,0))&lt;&gt;ModelNAValue</xm:f>
            <x14:dxf>
              <font>
                <b/>
                <i val="0"/>
                <color theme="0"/>
              </font>
              <fill>
                <patternFill>
                  <fgColor indexed="64"/>
                  <bgColor theme="9" tint="-0.24994659260841701"/>
                </patternFill>
              </fill>
            </x14:dxf>
          </x14:cfRule>
          <xm:sqref>Q1:U1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C1:CN311"/>
  <sheetViews>
    <sheetView zoomScaleNormal="100" workbookViewId="0">
      <pane ySplit="5" topLeftCell="A6" activePane="bottomLeft" state="frozen"/>
      <selection pane="bottomLeft"/>
    </sheetView>
  </sheetViews>
  <sheetFormatPr defaultColWidth="8.85546875" defaultRowHeight="15" x14ac:dyDescent="0.25"/>
  <cols>
    <col min="1" max="2" width="15" style="48" customWidth="1"/>
    <col min="3" max="3" width="7.7109375" style="48" customWidth="1"/>
    <col min="4" max="6" width="15" style="48" customWidth="1"/>
    <col min="7" max="8" width="7.7109375" style="48" customWidth="1"/>
    <col min="9" max="11" width="15" style="48" customWidth="1"/>
    <col min="12" max="13" width="7.7109375" style="48" customWidth="1"/>
    <col min="14" max="16" width="15" style="48" customWidth="1"/>
    <col min="17" max="18" width="7.7109375" style="48" customWidth="1"/>
    <col min="19" max="21" width="15" style="48" customWidth="1"/>
    <col min="22" max="23" width="7.7109375" style="48" customWidth="1"/>
    <col min="24" max="26" width="15" style="48" customWidth="1"/>
    <col min="27" max="124" width="7.7109375" style="48" customWidth="1"/>
    <col min="125" max="16384" width="8.85546875" style="48"/>
  </cols>
  <sheetData>
    <row r="1" spans="3:92" s="46" customFormat="1" ht="60" customHeight="1" x14ac:dyDescent="0.25">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54"/>
      <c r="BM1" s="154"/>
      <c r="BN1" s="154"/>
      <c r="BO1" s="154"/>
      <c r="BP1" s="154"/>
      <c r="BQ1" s="154"/>
      <c r="BR1" s="154"/>
      <c r="BS1" s="154"/>
      <c r="BT1" s="154"/>
      <c r="BU1" s="154"/>
      <c r="BV1" s="154"/>
      <c r="BW1" s="154"/>
      <c r="BX1" s="154"/>
      <c r="BY1" s="154"/>
      <c r="BZ1" s="154"/>
      <c r="CA1" s="154"/>
      <c r="CB1" s="154"/>
      <c r="CC1" s="154"/>
      <c r="CD1" s="154"/>
      <c r="CE1" s="154"/>
      <c r="CF1" s="154"/>
      <c r="CG1" s="154"/>
      <c r="CH1" s="154"/>
      <c r="CI1" s="154"/>
      <c r="CJ1" s="154"/>
      <c r="CK1" s="154"/>
      <c r="CL1" s="154"/>
      <c r="CM1" s="154"/>
      <c r="CN1" s="154"/>
    </row>
    <row r="2" spans="3:92" s="47" customFormat="1" ht="24.95" customHeight="1" x14ac:dyDescent="0.25">
      <c r="C2" s="155"/>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55"/>
      <c r="BQ2" s="155"/>
      <c r="BR2" s="155"/>
      <c r="BS2" s="155"/>
      <c r="BT2" s="155"/>
      <c r="BU2" s="155"/>
      <c r="BV2" s="155"/>
      <c r="BW2" s="155"/>
      <c r="BX2" s="155"/>
      <c r="BY2" s="155"/>
      <c r="BZ2" s="155"/>
      <c r="CA2" s="155"/>
      <c r="CB2" s="155"/>
      <c r="CC2" s="155"/>
      <c r="CD2" s="155"/>
      <c r="CE2" s="155"/>
      <c r="CF2" s="155"/>
      <c r="CG2" s="155"/>
      <c r="CH2" s="155"/>
      <c r="CI2" s="155"/>
      <c r="CJ2" s="155"/>
      <c r="CK2" s="155"/>
      <c r="CL2" s="155"/>
      <c r="CM2" s="155"/>
      <c r="CN2" s="155"/>
    </row>
    <row r="3" spans="3:92" s="140" customFormat="1" ht="3.75" customHeight="1" x14ac:dyDescent="0.25">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6"/>
      <c r="AU3" s="156"/>
      <c r="AV3" s="156"/>
      <c r="AW3" s="156"/>
      <c r="AX3" s="156"/>
      <c r="AY3" s="156"/>
      <c r="AZ3" s="156"/>
      <c r="BA3" s="156"/>
      <c r="BB3" s="156"/>
      <c r="BC3" s="156"/>
      <c r="BD3" s="156"/>
      <c r="BE3" s="156"/>
      <c r="BF3" s="156"/>
      <c r="BG3" s="156"/>
      <c r="BH3" s="156"/>
      <c r="BI3" s="156"/>
      <c r="BJ3" s="156"/>
      <c r="BK3" s="156"/>
      <c r="BL3" s="156"/>
      <c r="BM3" s="156"/>
      <c r="BN3" s="156"/>
      <c r="BO3" s="156"/>
      <c r="BP3" s="156"/>
      <c r="BQ3" s="156"/>
      <c r="BR3" s="156"/>
      <c r="BS3" s="156"/>
      <c r="BT3" s="156"/>
      <c r="BU3" s="156"/>
      <c r="BV3" s="156"/>
      <c r="BW3" s="156"/>
      <c r="BX3" s="156"/>
      <c r="BY3" s="156"/>
      <c r="BZ3" s="156"/>
      <c r="CA3" s="156"/>
      <c r="CB3" s="156"/>
      <c r="CC3" s="156"/>
      <c r="CD3" s="156"/>
      <c r="CE3" s="156"/>
      <c r="CF3" s="156"/>
      <c r="CG3" s="156"/>
      <c r="CH3" s="156"/>
      <c r="CI3" s="156"/>
      <c r="CJ3" s="156"/>
      <c r="CK3" s="156"/>
      <c r="CL3" s="156"/>
      <c r="CM3" s="156"/>
      <c r="CN3" s="156"/>
    </row>
    <row r="4" spans="3:92" s="140" customFormat="1" x14ac:dyDescent="0.25">
      <c r="C4" s="156"/>
      <c r="D4" s="156"/>
      <c r="E4" s="156"/>
      <c r="F4" s="156"/>
      <c r="G4" s="156"/>
      <c r="H4" s="156"/>
      <c r="I4" s="156"/>
      <c r="J4" s="156"/>
      <c r="K4" s="156"/>
      <c r="L4" s="156"/>
      <c r="M4" s="156"/>
      <c r="N4" s="156"/>
      <c r="O4" s="156"/>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6"/>
      <c r="AU4" s="156"/>
      <c r="AV4" s="156"/>
      <c r="AW4" s="156"/>
      <c r="AX4" s="156"/>
      <c r="AY4" s="156"/>
      <c r="AZ4" s="156"/>
      <c r="BA4" s="156"/>
      <c r="BB4" s="156"/>
      <c r="BC4" s="156"/>
      <c r="BD4" s="156"/>
      <c r="BE4" s="156"/>
      <c r="BF4" s="156"/>
      <c r="BG4" s="156"/>
      <c r="BH4" s="156"/>
      <c r="BI4" s="156"/>
      <c r="BJ4" s="156"/>
      <c r="BK4" s="156"/>
      <c r="BL4" s="156"/>
      <c r="BM4" s="156"/>
      <c r="BN4" s="156"/>
      <c r="BO4" s="156"/>
      <c r="BP4" s="156"/>
      <c r="BQ4" s="156"/>
      <c r="BR4" s="156"/>
      <c r="BS4" s="156"/>
      <c r="BT4" s="156"/>
      <c r="BU4" s="156"/>
      <c r="BV4" s="156"/>
      <c r="BW4" s="156"/>
      <c r="BX4" s="156"/>
      <c r="BY4" s="156"/>
      <c r="BZ4" s="156"/>
      <c r="CA4" s="156"/>
      <c r="CB4" s="156"/>
      <c r="CC4" s="156"/>
      <c r="CD4" s="156"/>
      <c r="CE4" s="156"/>
      <c r="CF4" s="156"/>
      <c r="CG4" s="156"/>
      <c r="CH4" s="156"/>
      <c r="CI4" s="156"/>
      <c r="CJ4" s="156"/>
      <c r="CK4" s="156"/>
      <c r="CL4" s="156"/>
      <c r="CM4" s="156"/>
      <c r="CN4" s="156"/>
    </row>
    <row r="5" spans="3:92" s="140" customFormat="1" ht="3" customHeight="1" x14ac:dyDescent="0.25">
      <c r="C5" s="156"/>
      <c r="D5" s="156"/>
      <c r="E5" s="156"/>
      <c r="F5" s="156"/>
      <c r="G5" s="156"/>
      <c r="H5" s="156"/>
      <c r="I5" s="156"/>
      <c r="J5" s="156"/>
      <c r="K5" s="156"/>
      <c r="L5" s="156"/>
      <c r="M5" s="156"/>
      <c r="N5" s="156"/>
      <c r="O5" s="156"/>
      <c r="P5" s="156"/>
      <c r="Q5" s="156"/>
      <c r="R5" s="156"/>
      <c r="S5" s="156"/>
      <c r="T5" s="156"/>
      <c r="U5" s="156"/>
      <c r="V5" s="156"/>
      <c r="W5" s="156"/>
      <c r="X5" s="156"/>
      <c r="Y5" s="156"/>
      <c r="Z5" s="156"/>
      <c r="AA5" s="156"/>
      <c r="AB5" s="156"/>
      <c r="AC5" s="156"/>
      <c r="AD5" s="156"/>
      <c r="AE5" s="156"/>
      <c r="AF5" s="156"/>
      <c r="AG5" s="156"/>
      <c r="AH5" s="156"/>
      <c r="AI5" s="156"/>
      <c r="AJ5" s="156"/>
      <c r="AK5" s="156"/>
      <c r="AL5" s="156"/>
      <c r="AM5" s="156"/>
      <c r="AN5" s="156"/>
      <c r="AO5" s="156"/>
      <c r="AP5" s="156"/>
      <c r="AQ5" s="156"/>
      <c r="AR5" s="156"/>
      <c r="AS5" s="156"/>
      <c r="AT5" s="156"/>
      <c r="AU5" s="156"/>
      <c r="AV5" s="156"/>
      <c r="AW5" s="156"/>
      <c r="AX5" s="156"/>
      <c r="AY5" s="156"/>
      <c r="AZ5" s="156"/>
      <c r="BA5" s="156"/>
      <c r="BB5" s="156"/>
      <c r="BC5" s="156"/>
      <c r="BD5" s="156"/>
      <c r="BE5" s="156"/>
      <c r="BF5" s="156"/>
      <c r="BG5" s="156"/>
      <c r="BH5" s="156"/>
      <c r="BI5" s="156"/>
      <c r="BJ5" s="156"/>
      <c r="BK5" s="156"/>
      <c r="BL5" s="156"/>
      <c r="BM5" s="156"/>
      <c r="BN5" s="156"/>
      <c r="BO5" s="156"/>
      <c r="BP5" s="156"/>
      <c r="BQ5" s="156"/>
      <c r="BR5" s="156"/>
      <c r="BS5" s="156"/>
      <c r="BT5" s="156"/>
      <c r="BU5" s="156"/>
      <c r="BV5" s="156"/>
      <c r="BW5" s="156"/>
      <c r="BX5" s="156"/>
      <c r="BY5" s="156"/>
      <c r="BZ5" s="156"/>
      <c r="CA5" s="156"/>
      <c r="CB5" s="156"/>
      <c r="CC5" s="156"/>
      <c r="CD5" s="156"/>
      <c r="CE5" s="156"/>
      <c r="CF5" s="156"/>
      <c r="CG5" s="156"/>
      <c r="CH5" s="156"/>
      <c r="CI5" s="156"/>
      <c r="CJ5" s="156"/>
      <c r="CK5" s="156"/>
      <c r="CL5" s="156"/>
      <c r="CM5" s="156"/>
      <c r="CN5" s="156"/>
    </row>
    <row r="6" spans="3:92" x14ac:dyDescent="0.25">
      <c r="C6"/>
      <c r="D6" s="153"/>
      <c r="E6" s="153"/>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row>
    <row r="7" spans="3:92" x14ac:dyDescent="0.25">
      <c r="C7"/>
      <c r="D7"/>
      <c r="E7"/>
      <c r="F7" s="153"/>
      <c r="G7" s="153"/>
      <c r="H7" s="153"/>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row>
    <row r="8" spans="3:92" x14ac:dyDescent="0.25">
      <c r="C8"/>
      <c r="D8"/>
      <c r="E8"/>
      <c r="F8" s="153"/>
      <c r="G8" s="153"/>
      <c r="H8" s="153"/>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row>
    <row r="9" spans="3:92" x14ac:dyDescent="0.25">
      <c r="C9"/>
      <c r="D9" s="153"/>
      <c r="E9" s="153"/>
      <c r="F9"/>
      <c r="G9" s="153"/>
      <c r="H9" s="153"/>
      <c r="I9"/>
      <c r="J9" s="153"/>
      <c r="K9" s="153"/>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row>
    <row r="10" spans="3:92" x14ac:dyDescent="0.25">
      <c r="C10" s="153"/>
      <c r="D10" s="153"/>
      <c r="E10" s="153"/>
      <c r="F10" s="153"/>
      <c r="G10" s="153"/>
      <c r="H10" s="153"/>
      <c r="I10" s="153"/>
      <c r="J10" s="153"/>
      <c r="K10" s="153"/>
      <c r="L10" s="153"/>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row>
    <row r="11" spans="3:92" x14ac:dyDescent="0.25">
      <c r="C11"/>
      <c r="D11" s="153"/>
      <c r="E11" s="153"/>
      <c r="F11"/>
      <c r="G11" s="153"/>
      <c r="H11" s="153"/>
      <c r="I11" s="153"/>
      <c r="J11" s="153"/>
      <c r="K11" s="153"/>
      <c r="L11" s="153"/>
      <c r="M11"/>
      <c r="N11" s="153"/>
      <c r="O11"/>
      <c r="P11"/>
      <c r="Q11" s="153"/>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row>
    <row r="12" spans="3:92" x14ac:dyDescent="0.25">
      <c r="C12"/>
      <c r="D12" s="153"/>
      <c r="E12" s="153"/>
      <c r="F12"/>
      <c r="G12" s="153"/>
      <c r="H12" s="153"/>
      <c r="I12" s="153"/>
      <c r="J12"/>
      <c r="K12" s="153"/>
      <c r="L12" s="153"/>
      <c r="M12" s="153"/>
      <c r="N12" s="153"/>
      <c r="O12"/>
      <c r="P12" s="153"/>
      <c r="Q12" s="153"/>
      <c r="R12"/>
      <c r="S12" s="153"/>
      <c r="T12"/>
      <c r="U12"/>
      <c r="V12" s="153"/>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row>
    <row r="13" spans="3:92" x14ac:dyDescent="0.25">
      <c r="C13"/>
      <c r="D13"/>
      <c r="E13" s="153"/>
      <c r="F13" s="153"/>
      <c r="G13" s="153"/>
      <c r="H13" s="153"/>
      <c r="I13" s="153"/>
      <c r="J13"/>
      <c r="K13" s="153"/>
      <c r="L13" s="153"/>
      <c r="M13"/>
      <c r="N13" s="153"/>
      <c r="O13"/>
      <c r="P13"/>
      <c r="Q13" s="153"/>
      <c r="R13" s="153"/>
      <c r="S13" s="153"/>
      <c r="T13"/>
      <c r="U13" s="153"/>
      <c r="V13" s="15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row>
    <row r="14" spans="3:92" x14ac:dyDescent="0.25">
      <c r="C14"/>
      <c r="D14" s="153"/>
      <c r="E14"/>
      <c r="F14"/>
      <c r="G14" s="153"/>
      <c r="H14" s="153"/>
      <c r="I14" s="153"/>
      <c r="J14" s="153"/>
      <c r="K14" s="153"/>
      <c r="L14" s="153"/>
      <c r="M14"/>
      <c r="N14" s="153"/>
      <c r="O14"/>
      <c r="P14"/>
      <c r="Q14" s="153"/>
      <c r="R14"/>
      <c r="S14" s="153"/>
      <c r="T14"/>
      <c r="U14"/>
      <c r="V14" s="153"/>
      <c r="W14"/>
      <c r="X14" s="153"/>
      <c r="Y14"/>
      <c r="Z14"/>
      <c r="AA14" s="153"/>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row>
    <row r="15" spans="3:92" x14ac:dyDescent="0.25">
      <c r="C15"/>
      <c r="D15" s="153"/>
      <c r="E15" s="153"/>
      <c r="F15"/>
      <c r="G15" s="153"/>
      <c r="H15" s="153"/>
      <c r="I15"/>
      <c r="J15" s="153"/>
      <c r="K15" s="153"/>
      <c r="L15" s="153"/>
      <c r="M15"/>
      <c r="N15" s="153"/>
      <c r="O15"/>
      <c r="P15"/>
      <c r="Q15" s="153"/>
      <c r="R15" s="153"/>
      <c r="S15" s="153"/>
      <c r="T15"/>
      <c r="U15" s="153"/>
      <c r="V15" s="153"/>
      <c r="W15"/>
      <c r="X15"/>
      <c r="Y15"/>
      <c r="Z15"/>
      <c r="AA15" s="153"/>
      <c r="AB15"/>
      <c r="AC15" s="153"/>
      <c r="AD15"/>
      <c r="AE15"/>
      <c r="AF15" s="153"/>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row>
    <row r="16" spans="3:92" x14ac:dyDescent="0.25">
      <c r="C16"/>
      <c r="D16"/>
      <c r="E16"/>
      <c r="F16"/>
      <c r="G16" s="153"/>
      <c r="H16" s="153"/>
      <c r="I16" s="153"/>
      <c r="J16" s="153"/>
      <c r="K16" s="153"/>
      <c r="L16" s="153"/>
      <c r="M16" s="153"/>
      <c r="N16" s="153"/>
      <c r="O16"/>
      <c r="P16"/>
      <c r="Q16" s="153"/>
      <c r="R16"/>
      <c r="S16" s="153"/>
      <c r="T16"/>
      <c r="U16"/>
      <c r="V16" s="153"/>
      <c r="W16"/>
      <c r="X16" s="153"/>
      <c r="Y16"/>
      <c r="Z16"/>
      <c r="AA16" s="153"/>
      <c r="AB16"/>
      <c r="AC16"/>
      <c r="AD16"/>
      <c r="AE16"/>
      <c r="AF16" s="153"/>
      <c r="AG16"/>
      <c r="AH16" s="153"/>
      <c r="AI16"/>
      <c r="AJ16"/>
      <c r="AK16" s="153"/>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row>
    <row r="17" spans="3:92" x14ac:dyDescent="0.25">
      <c r="C17"/>
      <c r="D17"/>
      <c r="E17"/>
      <c r="F17"/>
      <c r="G17" s="153"/>
      <c r="H17" s="153"/>
      <c r="I17"/>
      <c r="J17" s="153"/>
      <c r="K17" s="153"/>
      <c r="L17" s="153"/>
      <c r="M17" s="153"/>
      <c r="N17" s="153"/>
      <c r="O17"/>
      <c r="P17" s="153"/>
      <c r="Q17" s="153"/>
      <c r="R17"/>
      <c r="S17" s="153"/>
      <c r="T17"/>
      <c r="U17"/>
      <c r="V17" s="153"/>
      <c r="W17"/>
      <c r="X17" s="153"/>
      <c r="Y17"/>
      <c r="Z17"/>
      <c r="AA17" s="153"/>
      <c r="AB17"/>
      <c r="AC17"/>
      <c r="AD17"/>
      <c r="AE17"/>
      <c r="AF17" s="153"/>
      <c r="AG17"/>
      <c r="AH17"/>
      <c r="AI17"/>
      <c r="AJ17"/>
      <c r="AK17"/>
      <c r="AL17"/>
      <c r="AM17" s="153"/>
      <c r="AN17"/>
      <c r="AO17"/>
      <c r="AP17" s="153"/>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row>
    <row r="18" spans="3:92" x14ac:dyDescent="0.25">
      <c r="C18"/>
      <c r="D18" s="153"/>
      <c r="E18" s="153"/>
      <c r="F18"/>
      <c r="G18" s="153"/>
      <c r="H18"/>
      <c r="I18" s="153"/>
      <c r="J18" s="153"/>
      <c r="K18" s="153"/>
      <c r="L18" s="153"/>
      <c r="M18" s="153"/>
      <c r="N18" s="153"/>
      <c r="O18"/>
      <c r="P18"/>
      <c r="Q18" s="153"/>
      <c r="R18" s="153"/>
      <c r="S18" s="153"/>
      <c r="T18" s="153"/>
      <c r="U18" s="153"/>
      <c r="V18" s="153"/>
      <c r="W18"/>
      <c r="X18" s="153"/>
      <c r="Y18"/>
      <c r="Z18"/>
      <c r="AA18" s="153"/>
      <c r="AB18"/>
      <c r="AC18"/>
      <c r="AD18"/>
      <c r="AE18"/>
      <c r="AF18" s="153"/>
      <c r="AG18"/>
      <c r="AH18"/>
      <c r="AI18"/>
      <c r="AJ18"/>
      <c r="AK18" s="153"/>
      <c r="AL18"/>
      <c r="AM18"/>
      <c r="AN18"/>
      <c r="AO18"/>
      <c r="AP18"/>
      <c r="AQ18"/>
      <c r="AR18" s="153"/>
      <c r="AS18"/>
      <c r="AT18"/>
      <c r="AU18" s="153"/>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row>
    <row r="19" spans="3:92" x14ac:dyDescent="0.25">
      <c r="C19"/>
      <c r="D19"/>
      <c r="E19" s="153"/>
      <c r="F19"/>
      <c r="G19" s="153"/>
      <c r="H19"/>
      <c r="I19" s="153"/>
      <c r="J19" s="153"/>
      <c r="K19" s="153"/>
      <c r="L19" s="153"/>
      <c r="M19"/>
      <c r="N19" s="153"/>
      <c r="O19"/>
      <c r="P19"/>
      <c r="Q19" s="153"/>
      <c r="R19"/>
      <c r="S19" s="153"/>
      <c r="T19" s="153"/>
      <c r="U19"/>
      <c r="V19" s="153"/>
      <c r="W19"/>
      <c r="X19" s="153"/>
      <c r="Y19"/>
      <c r="Z19"/>
      <c r="AA19" s="153"/>
      <c r="AB19"/>
      <c r="AC19"/>
      <c r="AD19"/>
      <c r="AE19"/>
      <c r="AF19"/>
      <c r="AG19"/>
      <c r="AH19"/>
      <c r="AI19"/>
      <c r="AJ19"/>
      <c r="AK19" s="153"/>
      <c r="AL19"/>
      <c r="AM19"/>
      <c r="AN19"/>
      <c r="AO19"/>
      <c r="AP19"/>
      <c r="AQ19"/>
      <c r="AR19"/>
      <c r="AS19"/>
      <c r="AT19"/>
      <c r="AU19"/>
      <c r="AV19"/>
      <c r="AW19" s="153"/>
      <c r="AX19"/>
      <c r="AY19"/>
      <c r="AZ19" s="153"/>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row>
    <row r="20" spans="3:92" x14ac:dyDescent="0.25">
      <c r="C20"/>
      <c r="D20" s="153"/>
      <c r="E20"/>
      <c r="F20" s="153"/>
      <c r="G20" s="153"/>
      <c r="H20" s="153"/>
      <c r="I20"/>
      <c r="J20"/>
      <c r="K20" s="153"/>
      <c r="L20" s="153"/>
      <c r="M20"/>
      <c r="N20" s="153"/>
      <c r="O20"/>
      <c r="P20"/>
      <c r="Q20" s="153"/>
      <c r="R20" s="153"/>
      <c r="S20" s="153"/>
      <c r="T20" s="153"/>
      <c r="U20" s="153"/>
      <c r="V20" s="153"/>
      <c r="W20" s="153"/>
      <c r="X20"/>
      <c r="Y20"/>
      <c r="Z20"/>
      <c r="AA20"/>
      <c r="AB20"/>
      <c r="AC20"/>
      <c r="AD20"/>
      <c r="AE20"/>
      <c r="AF20" s="153"/>
      <c r="AG20"/>
      <c r="AH20"/>
      <c r="AI20"/>
      <c r="AJ20"/>
      <c r="AK20"/>
      <c r="AL20"/>
      <c r="AM20"/>
      <c r="AN20"/>
      <c r="AO20"/>
      <c r="AP20" s="153"/>
      <c r="AQ20"/>
      <c r="AR20"/>
      <c r="AS20"/>
      <c r="AT20"/>
      <c r="AU20"/>
      <c r="AV20"/>
      <c r="AW20"/>
      <c r="AX20"/>
      <c r="AY20"/>
      <c r="AZ20"/>
      <c r="BA20"/>
      <c r="BB20" s="153"/>
      <c r="BC20"/>
      <c r="BD20"/>
      <c r="BE20" s="153"/>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row>
    <row r="21" spans="3:92" x14ac:dyDescent="0.25">
      <c r="C21"/>
      <c r="D21" s="153"/>
      <c r="E21" s="153"/>
      <c r="F21"/>
      <c r="G21" s="153"/>
      <c r="H21" s="153"/>
      <c r="I21" s="153"/>
      <c r="J21"/>
      <c r="K21" s="153"/>
      <c r="L21" s="153"/>
      <c r="M21"/>
      <c r="N21" s="153"/>
      <c r="O21"/>
      <c r="P21"/>
      <c r="Q21" s="153"/>
      <c r="R21"/>
      <c r="S21" s="153"/>
      <c r="T21" s="153"/>
      <c r="U21"/>
      <c r="V21" s="153"/>
      <c r="W21" s="153"/>
      <c r="X21" s="153"/>
      <c r="Y21"/>
      <c r="Z21" s="153"/>
      <c r="AA21" s="153"/>
      <c r="AB21"/>
      <c r="AC21"/>
      <c r="AD21"/>
      <c r="AE21"/>
      <c r="AF21"/>
      <c r="AG21"/>
      <c r="AH21"/>
      <c r="AI21"/>
      <c r="AJ21"/>
      <c r="AK21" s="153"/>
      <c r="AL21"/>
      <c r="AM21"/>
      <c r="AN21"/>
      <c r="AO21"/>
      <c r="AP21" s="153"/>
      <c r="AQ21"/>
      <c r="AR21"/>
      <c r="AS21"/>
      <c r="AT21"/>
      <c r="AU21"/>
      <c r="AV21"/>
      <c r="AW21"/>
      <c r="AX21"/>
      <c r="AY21"/>
      <c r="AZ21"/>
      <c r="BA21"/>
      <c r="BB21"/>
      <c r="BC21"/>
      <c r="BD21"/>
      <c r="BE21"/>
      <c r="BF21"/>
      <c r="BG21" s="153"/>
      <c r="BH21"/>
      <c r="BI21"/>
      <c r="BJ21" s="153"/>
      <c r="BK21"/>
      <c r="BL21"/>
      <c r="BM21"/>
      <c r="BN21"/>
      <c r="BO21"/>
      <c r="BP21"/>
      <c r="BQ21"/>
      <c r="BR21"/>
      <c r="BS21"/>
      <c r="BT21"/>
      <c r="BU21"/>
      <c r="BV21"/>
      <c r="BW21"/>
      <c r="BX21"/>
      <c r="BY21"/>
      <c r="BZ21"/>
      <c r="CA21"/>
      <c r="CB21"/>
      <c r="CC21"/>
      <c r="CD21"/>
      <c r="CE21"/>
      <c r="CF21"/>
      <c r="CG21"/>
      <c r="CH21"/>
      <c r="CI21"/>
      <c r="CJ21"/>
      <c r="CK21"/>
      <c r="CL21"/>
      <c r="CM21"/>
      <c r="CN21"/>
    </row>
    <row r="22" spans="3:92" x14ac:dyDescent="0.25">
      <c r="C22"/>
      <c r="D22"/>
      <c r="E22"/>
      <c r="F22"/>
      <c r="G22" s="153"/>
      <c r="H22" s="153"/>
      <c r="I22" s="153"/>
      <c r="J22"/>
      <c r="K22" s="153"/>
      <c r="L22" s="153"/>
      <c r="M22"/>
      <c r="N22" s="153"/>
      <c r="O22"/>
      <c r="P22"/>
      <c r="Q22" s="153"/>
      <c r="R22"/>
      <c r="S22" s="153"/>
      <c r="T22"/>
      <c r="U22"/>
      <c r="V22" s="153"/>
      <c r="W22" s="153"/>
      <c r="X22"/>
      <c r="Y22"/>
      <c r="Z22"/>
      <c r="AA22"/>
      <c r="AB22"/>
      <c r="AC22" s="153"/>
      <c r="AD22"/>
      <c r="AE22"/>
      <c r="AF22" s="153"/>
      <c r="AG22"/>
      <c r="AH22"/>
      <c r="AI22"/>
      <c r="AJ22"/>
      <c r="AK22"/>
      <c r="AL22"/>
      <c r="AM22"/>
      <c r="AN22"/>
      <c r="AO22"/>
      <c r="AP22"/>
      <c r="AQ22"/>
      <c r="AR22"/>
      <c r="AS22"/>
      <c r="AT22"/>
      <c r="AU22" s="153"/>
      <c r="AV22"/>
      <c r="AW22"/>
      <c r="AX22"/>
      <c r="AY22"/>
      <c r="AZ22"/>
      <c r="BA22"/>
      <c r="BB22"/>
      <c r="BC22"/>
      <c r="BD22"/>
      <c r="BE22"/>
      <c r="BF22"/>
      <c r="BG22"/>
      <c r="BH22"/>
      <c r="BI22"/>
      <c r="BJ22"/>
      <c r="BK22"/>
      <c r="BL22" s="153"/>
      <c r="BM22"/>
      <c r="BN22"/>
      <c r="BO22" s="153"/>
      <c r="BP22"/>
      <c r="BQ22"/>
      <c r="BR22"/>
      <c r="BS22"/>
      <c r="BT22"/>
      <c r="BU22"/>
      <c r="BV22"/>
      <c r="BW22"/>
      <c r="BX22"/>
      <c r="BY22"/>
      <c r="BZ22"/>
      <c r="CA22"/>
      <c r="CB22"/>
      <c r="CC22"/>
      <c r="CD22"/>
      <c r="CE22"/>
      <c r="CF22"/>
      <c r="CG22"/>
      <c r="CH22"/>
      <c r="CI22"/>
      <c r="CJ22"/>
      <c r="CK22"/>
      <c r="CL22"/>
      <c r="CM22"/>
      <c r="CN22"/>
    </row>
    <row r="23" spans="3:92" x14ac:dyDescent="0.25">
      <c r="C23"/>
      <c r="D23" s="153"/>
      <c r="E23"/>
      <c r="F23"/>
      <c r="G23" s="153"/>
      <c r="H23" s="153"/>
      <c r="I23" s="153"/>
      <c r="J23"/>
      <c r="K23" s="153"/>
      <c r="L23" s="153"/>
      <c r="M23" s="153"/>
      <c r="N23" s="153"/>
      <c r="O23"/>
      <c r="P23" s="153"/>
      <c r="Q23" s="153"/>
      <c r="R23"/>
      <c r="S23" s="153"/>
      <c r="T23"/>
      <c r="U23"/>
      <c r="V23" s="153"/>
      <c r="W23"/>
      <c r="X23" s="153"/>
      <c r="Y23"/>
      <c r="Z23" s="153"/>
      <c r="AA23" s="153"/>
      <c r="AB23"/>
      <c r="AC23"/>
      <c r="AD23"/>
      <c r="AE23"/>
      <c r="AF23" s="153"/>
      <c r="AG23"/>
      <c r="AH23"/>
      <c r="AI23"/>
      <c r="AJ23"/>
      <c r="AK23" s="153"/>
      <c r="AL23"/>
      <c r="AM23"/>
      <c r="AN23"/>
      <c r="AO23"/>
      <c r="AP23"/>
      <c r="AQ23"/>
      <c r="AR23"/>
      <c r="AS23"/>
      <c r="AT23"/>
      <c r="AU23" s="153"/>
      <c r="AV23"/>
      <c r="AW23"/>
      <c r="AX23"/>
      <c r="AY23"/>
      <c r="AZ23"/>
      <c r="BA23"/>
      <c r="BB23"/>
      <c r="BC23"/>
      <c r="BD23"/>
      <c r="BE23"/>
      <c r="BF23"/>
      <c r="BG23"/>
      <c r="BH23"/>
      <c r="BI23"/>
      <c r="BJ23"/>
      <c r="BK23"/>
      <c r="BL23"/>
      <c r="BM23"/>
      <c r="BN23"/>
      <c r="BO23"/>
      <c r="BP23"/>
      <c r="BQ23" s="153"/>
      <c r="BR23"/>
      <c r="BS23"/>
      <c r="BT23" s="153"/>
      <c r="BU23"/>
      <c r="BV23"/>
      <c r="BW23"/>
      <c r="BX23"/>
      <c r="BY23"/>
      <c r="BZ23"/>
      <c r="CA23"/>
      <c r="CB23"/>
      <c r="CC23"/>
      <c r="CD23"/>
      <c r="CE23"/>
      <c r="CF23"/>
      <c r="CG23"/>
      <c r="CH23"/>
      <c r="CI23"/>
      <c r="CJ23"/>
      <c r="CK23"/>
      <c r="CL23"/>
      <c r="CM23"/>
      <c r="CN23"/>
    </row>
    <row r="24" spans="3:92" x14ac:dyDescent="0.25">
      <c r="C24"/>
      <c r="D24" s="153"/>
      <c r="E24"/>
      <c r="F24"/>
      <c r="G24" s="153"/>
      <c r="H24"/>
      <c r="I24" s="153"/>
      <c r="J24"/>
      <c r="K24" s="153"/>
      <c r="L24" s="153"/>
      <c r="M24"/>
      <c r="N24" s="153"/>
      <c r="O24"/>
      <c r="P24"/>
      <c r="Q24" s="153"/>
      <c r="R24"/>
      <c r="S24" s="153"/>
      <c r="T24" s="153"/>
      <c r="U24"/>
      <c r="V24" s="153"/>
      <c r="W24"/>
      <c r="X24"/>
      <c r="Y24"/>
      <c r="Z24" s="153"/>
      <c r="AA24"/>
      <c r="AB24"/>
      <c r="AC24"/>
      <c r="AD24"/>
      <c r="AE24"/>
      <c r="AF24"/>
      <c r="AG24"/>
      <c r="AH24"/>
      <c r="AI24"/>
      <c r="AJ24"/>
      <c r="AK24"/>
      <c r="AL24"/>
      <c r="AM24"/>
      <c r="AN24"/>
      <c r="AO24"/>
      <c r="AP24" s="153"/>
      <c r="AQ24"/>
      <c r="AR24"/>
      <c r="AS24"/>
      <c r="AT24"/>
      <c r="AU24"/>
      <c r="AV24"/>
      <c r="AW24"/>
      <c r="AX24"/>
      <c r="AY24"/>
      <c r="AZ24" s="153"/>
      <c r="BA24"/>
      <c r="BB24"/>
      <c r="BC24"/>
      <c r="BD24"/>
      <c r="BE24"/>
      <c r="BF24"/>
      <c r="BG24"/>
      <c r="BH24"/>
      <c r="BI24"/>
      <c r="BJ24"/>
      <c r="BK24"/>
      <c r="BL24"/>
      <c r="BM24"/>
      <c r="BN24"/>
      <c r="BO24"/>
      <c r="BP24"/>
      <c r="BQ24"/>
      <c r="BR24"/>
      <c r="BS24"/>
      <c r="BT24"/>
      <c r="BU24"/>
      <c r="BV24" s="153"/>
      <c r="BW24"/>
      <c r="BX24"/>
      <c r="BY24" s="153"/>
      <c r="BZ24"/>
      <c r="CA24"/>
      <c r="CB24"/>
      <c r="CC24"/>
      <c r="CD24"/>
      <c r="CE24"/>
      <c r="CF24"/>
      <c r="CG24"/>
      <c r="CH24"/>
      <c r="CI24"/>
      <c r="CJ24"/>
      <c r="CK24"/>
      <c r="CL24"/>
      <c r="CM24"/>
      <c r="CN24"/>
    </row>
    <row r="25" spans="3:92" x14ac:dyDescent="0.25">
      <c r="C25"/>
      <c r="D25"/>
      <c r="E25"/>
      <c r="F25"/>
      <c r="G25"/>
      <c r="H25"/>
      <c r="I25"/>
      <c r="J25"/>
      <c r="K25" s="153"/>
      <c r="L25" s="153"/>
      <c r="M25" s="153"/>
      <c r="N25" s="153"/>
      <c r="O25"/>
      <c r="P25" s="153"/>
      <c r="Q25" s="153"/>
      <c r="R25"/>
      <c r="S25" s="153"/>
      <c r="T25" s="153"/>
      <c r="U25"/>
      <c r="V25" s="153"/>
      <c r="W25"/>
      <c r="X25"/>
      <c r="Y25"/>
      <c r="Z25" s="153"/>
      <c r="AA25"/>
      <c r="AB25"/>
      <c r="AC25"/>
      <c r="AD25"/>
      <c r="AE25"/>
      <c r="AF25"/>
      <c r="AG25"/>
      <c r="AH25"/>
      <c r="AI25"/>
      <c r="AJ25"/>
      <c r="AK25"/>
      <c r="AL25"/>
      <c r="AM25"/>
      <c r="AN25"/>
      <c r="AO25"/>
      <c r="AP25"/>
      <c r="AQ25"/>
      <c r="AR25"/>
      <c r="AS25"/>
      <c r="AT25"/>
      <c r="AU25"/>
      <c r="AV25"/>
      <c r="AW25"/>
      <c r="AX25"/>
      <c r="AY25"/>
      <c r="AZ25" s="153"/>
      <c r="BA25"/>
      <c r="BB25"/>
      <c r="BC25"/>
      <c r="BD25"/>
      <c r="BE25"/>
      <c r="BF25"/>
      <c r="BG25"/>
      <c r="BH25"/>
      <c r="BI25"/>
      <c r="BJ25"/>
      <c r="BK25"/>
      <c r="BL25"/>
      <c r="BM25"/>
      <c r="BN25"/>
      <c r="BO25"/>
      <c r="BP25"/>
      <c r="BQ25"/>
      <c r="BR25"/>
      <c r="BS25"/>
      <c r="BT25"/>
      <c r="BU25"/>
      <c r="BV25"/>
      <c r="BW25"/>
      <c r="BX25"/>
      <c r="BY25"/>
      <c r="BZ25"/>
      <c r="CA25" s="153"/>
      <c r="CB25"/>
      <c r="CC25"/>
      <c r="CD25" s="153"/>
      <c r="CE25"/>
      <c r="CF25"/>
      <c r="CG25"/>
      <c r="CH25"/>
      <c r="CI25"/>
      <c r="CJ25"/>
      <c r="CK25"/>
      <c r="CL25"/>
      <c r="CM25"/>
      <c r="CN25"/>
    </row>
    <row r="26" spans="3:92" x14ac:dyDescent="0.25">
      <c r="C26"/>
      <c r="D26"/>
      <c r="E26" s="153"/>
      <c r="F26"/>
      <c r="G26" s="153"/>
      <c r="H26"/>
      <c r="I26" s="153"/>
      <c r="J26"/>
      <c r="K26"/>
      <c r="L26" s="153"/>
      <c r="M26"/>
      <c r="N26" s="153"/>
      <c r="O26"/>
      <c r="P26"/>
      <c r="Q26" s="153"/>
      <c r="R26" s="153"/>
      <c r="S26" s="153"/>
      <c r="T26"/>
      <c r="U26" s="153"/>
      <c r="V26" s="153"/>
      <c r="W26" s="153"/>
      <c r="X26"/>
      <c r="Y26"/>
      <c r="Z26"/>
      <c r="AA26"/>
      <c r="AB26"/>
      <c r="AC26" s="153"/>
      <c r="AD26"/>
      <c r="AE26"/>
      <c r="AF26"/>
      <c r="AG26"/>
      <c r="AH26"/>
      <c r="AI26"/>
      <c r="AJ26"/>
      <c r="AK26" s="153"/>
      <c r="AL26"/>
      <c r="AM26"/>
      <c r="AN26"/>
      <c r="AO26"/>
      <c r="AP26" s="153"/>
      <c r="AQ26"/>
      <c r="AR26"/>
      <c r="AS26"/>
      <c r="AT26"/>
      <c r="AU26"/>
      <c r="AV26"/>
      <c r="AW26"/>
      <c r="AX26"/>
      <c r="AY26"/>
      <c r="AZ26"/>
      <c r="BA26"/>
      <c r="BB26"/>
      <c r="BC26"/>
      <c r="BD26"/>
      <c r="BE26" s="153"/>
      <c r="BF26"/>
      <c r="BG26"/>
      <c r="BH26"/>
      <c r="BI26"/>
      <c r="BJ26"/>
      <c r="BK26"/>
      <c r="BL26"/>
      <c r="BM26"/>
      <c r="BN26"/>
      <c r="BO26"/>
      <c r="BP26"/>
      <c r="BQ26"/>
      <c r="BR26"/>
      <c r="BS26"/>
      <c r="BT26"/>
      <c r="BU26"/>
      <c r="BV26" s="153"/>
      <c r="BW26"/>
      <c r="BX26"/>
      <c r="BY26" s="153"/>
      <c r="BZ26"/>
      <c r="CA26"/>
      <c r="CB26"/>
      <c r="CC26"/>
      <c r="CD26"/>
      <c r="CE26"/>
      <c r="CF26"/>
      <c r="CG26"/>
      <c r="CH26"/>
      <c r="CI26"/>
      <c r="CJ26"/>
      <c r="CK26"/>
      <c r="CL26"/>
      <c r="CM26"/>
      <c r="CN26"/>
    </row>
    <row r="27" spans="3:92" x14ac:dyDescent="0.25">
      <c r="C27"/>
      <c r="D27"/>
      <c r="E27"/>
      <c r="F27"/>
      <c r="G27"/>
      <c r="H27" s="153"/>
      <c r="I27" s="153"/>
      <c r="J27"/>
      <c r="K27" s="153"/>
      <c r="L27" s="153"/>
      <c r="M27"/>
      <c r="N27" s="153"/>
      <c r="O27"/>
      <c r="P27"/>
      <c r="Q27" s="153"/>
      <c r="R27"/>
      <c r="S27" s="153"/>
      <c r="T27" s="153"/>
      <c r="U27"/>
      <c r="V27" s="153"/>
      <c r="W27" s="153"/>
      <c r="X27"/>
      <c r="Y27"/>
      <c r="Z27"/>
      <c r="AA27"/>
      <c r="AB27"/>
      <c r="AC27" s="153"/>
      <c r="AD27"/>
      <c r="AE27"/>
      <c r="AF27"/>
      <c r="AG27"/>
      <c r="AH27"/>
      <c r="AI27"/>
      <c r="AJ27"/>
      <c r="AK27"/>
      <c r="AL27"/>
      <c r="AM27"/>
      <c r="AN27"/>
      <c r="AO27"/>
      <c r="AP27" s="153"/>
      <c r="AQ27"/>
      <c r="AR27"/>
      <c r="AS27"/>
      <c r="AT27"/>
      <c r="AU27" s="153"/>
      <c r="AV27"/>
      <c r="AW27"/>
      <c r="AX27"/>
      <c r="AY27"/>
      <c r="AZ27"/>
      <c r="BA27"/>
      <c r="BB27"/>
      <c r="BC27"/>
      <c r="BD27"/>
      <c r="BE27" s="153"/>
      <c r="BF27"/>
      <c r="BG27"/>
      <c r="BH27"/>
      <c r="BI27"/>
      <c r="BJ27"/>
      <c r="BK27"/>
      <c r="BL27"/>
      <c r="BM27"/>
      <c r="BN27"/>
      <c r="BO27"/>
      <c r="BP27"/>
      <c r="BQ27"/>
      <c r="BR27"/>
      <c r="BS27"/>
      <c r="BT27"/>
      <c r="BU27"/>
      <c r="BV27"/>
      <c r="BW27"/>
      <c r="BX27"/>
      <c r="BY27"/>
      <c r="BZ27"/>
      <c r="CA27" s="153"/>
      <c r="CB27"/>
      <c r="CC27"/>
      <c r="CD27" s="153"/>
      <c r="CE27"/>
      <c r="CF27"/>
      <c r="CG27"/>
      <c r="CH27"/>
      <c r="CI27"/>
      <c r="CJ27"/>
      <c r="CK27"/>
      <c r="CL27"/>
      <c r="CM27"/>
      <c r="CN27"/>
    </row>
    <row r="28" spans="3:92" x14ac:dyDescent="0.25">
      <c r="C28"/>
      <c r="D28"/>
      <c r="E28"/>
      <c r="F28"/>
      <c r="G28"/>
      <c r="H28"/>
      <c r="I28"/>
      <c r="J28"/>
      <c r="K28" s="153"/>
      <c r="L28"/>
      <c r="M28"/>
      <c r="N28" s="153"/>
      <c r="O28"/>
      <c r="P28"/>
      <c r="Q28" s="153"/>
      <c r="R28" s="153"/>
      <c r="S28" s="153"/>
      <c r="T28" s="153"/>
      <c r="U28" s="153"/>
      <c r="V28" s="153"/>
      <c r="W28"/>
      <c r="X28"/>
      <c r="Y28"/>
      <c r="Z28" s="153"/>
      <c r="AA28"/>
      <c r="AB28"/>
      <c r="AC28"/>
      <c r="AD28"/>
      <c r="AE28"/>
      <c r="AF28" s="153"/>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s="153"/>
      <c r="CG28"/>
      <c r="CH28"/>
      <c r="CI28" s="153"/>
      <c r="CJ28"/>
      <c r="CK28"/>
      <c r="CL28"/>
      <c r="CM28"/>
      <c r="CN28"/>
    </row>
    <row r="29" spans="3:92" x14ac:dyDescent="0.25">
      <c r="C29"/>
      <c r="D29" s="153"/>
      <c r="E29"/>
      <c r="F29"/>
      <c r="G29" s="153"/>
      <c r="H29" s="153"/>
      <c r="I29" s="153"/>
      <c r="J29"/>
      <c r="K29"/>
      <c r="L29" s="153"/>
      <c r="M29"/>
      <c r="N29" s="153"/>
      <c r="O29"/>
      <c r="P29"/>
      <c r="Q29" s="153"/>
      <c r="R29"/>
      <c r="S29"/>
      <c r="T29" s="153"/>
      <c r="U29"/>
      <c r="V29"/>
      <c r="W29" s="153"/>
      <c r="X29"/>
      <c r="Y29"/>
      <c r="Z29" s="153"/>
      <c r="AA29" s="153"/>
      <c r="AB29"/>
      <c r="AC29"/>
      <c r="AD29"/>
      <c r="AE29"/>
      <c r="AF29" s="153"/>
      <c r="AG29"/>
      <c r="AH29"/>
      <c r="AI29"/>
      <c r="AJ29"/>
      <c r="AK29"/>
      <c r="AL29"/>
      <c r="AM29"/>
      <c r="AN29"/>
      <c r="AO29"/>
      <c r="AP29" s="153"/>
      <c r="AQ29"/>
      <c r="AR29"/>
      <c r="AS29"/>
      <c r="AT29"/>
      <c r="AU29" s="153"/>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s="153"/>
      <c r="CL29"/>
      <c r="CM29"/>
      <c r="CN29" s="153"/>
    </row>
    <row r="30" spans="3:92" x14ac:dyDescent="0.25">
      <c r="C30" s="153"/>
      <c r="D30" s="153"/>
      <c r="E30"/>
      <c r="F30" s="153"/>
      <c r="G30" s="153"/>
      <c r="H30" s="153"/>
      <c r="I30" s="153"/>
      <c r="J30"/>
      <c r="K30" s="153"/>
      <c r="L30" s="153"/>
      <c r="M30"/>
      <c r="N30" s="153"/>
      <c r="O30"/>
      <c r="P30"/>
      <c r="Q30" s="153"/>
      <c r="R30"/>
      <c r="S30"/>
      <c r="T30" s="153"/>
      <c r="U30"/>
      <c r="V30" s="153"/>
      <c r="W30"/>
      <c r="X30"/>
      <c r="Y30"/>
      <c r="Z30" s="153"/>
      <c r="AA30" s="153"/>
      <c r="AB30"/>
      <c r="AC30" s="153"/>
      <c r="AD30"/>
      <c r="AE30"/>
      <c r="AF30"/>
      <c r="AG30"/>
      <c r="AH30"/>
      <c r="AI30" s="153"/>
      <c r="AJ30"/>
      <c r="AK30"/>
      <c r="AL30"/>
      <c r="AM30"/>
      <c r="AN30"/>
      <c r="AO30"/>
      <c r="AP30"/>
      <c r="AQ30"/>
      <c r="AR30"/>
      <c r="AS30"/>
      <c r="AT30"/>
      <c r="AU30" s="153"/>
      <c r="AV30"/>
      <c r="AW30"/>
      <c r="AX30"/>
      <c r="AY30"/>
      <c r="AZ30" s="153"/>
      <c r="BA30"/>
      <c r="BB30"/>
      <c r="BC30"/>
      <c r="BD30"/>
      <c r="BE30"/>
      <c r="BF30"/>
      <c r="BG30"/>
      <c r="BH30"/>
      <c r="BI30"/>
      <c r="BJ30"/>
      <c r="BK30"/>
      <c r="BL30"/>
      <c r="BM30"/>
      <c r="BN30"/>
      <c r="BO30"/>
      <c r="BP30"/>
      <c r="BQ30"/>
      <c r="BR30"/>
      <c r="BS30"/>
      <c r="BT30"/>
      <c r="BU30"/>
      <c r="BV30"/>
      <c r="BW30"/>
      <c r="BX30"/>
      <c r="BY30"/>
      <c r="BZ30"/>
      <c r="CA30"/>
      <c r="CB30"/>
      <c r="CC30"/>
      <c r="CD30"/>
      <c r="CE30"/>
      <c r="CF30" s="153"/>
      <c r="CG30"/>
      <c r="CH30"/>
      <c r="CI30" s="153"/>
      <c r="CJ30"/>
      <c r="CK30"/>
      <c r="CL30"/>
      <c r="CM30"/>
      <c r="CN30"/>
    </row>
    <row r="31" spans="3:92" x14ac:dyDescent="0.25">
      <c r="C31"/>
      <c r="D31"/>
      <c r="E31"/>
      <c r="F31"/>
      <c r="G31"/>
      <c r="H31" s="153"/>
      <c r="I31" s="153"/>
      <c r="J31"/>
      <c r="K31" s="153"/>
      <c r="L31" s="153"/>
      <c r="M31"/>
      <c r="N31" s="153"/>
      <c r="O31"/>
      <c r="P31"/>
      <c r="Q31" s="153"/>
      <c r="R31"/>
      <c r="S31"/>
      <c r="T31"/>
      <c r="U31"/>
      <c r="V31"/>
      <c r="W31" s="153"/>
      <c r="X31"/>
      <c r="Y31"/>
      <c r="Z31" s="153"/>
      <c r="AA31" s="153"/>
      <c r="AB31"/>
      <c r="AC31"/>
      <c r="AD31"/>
      <c r="AE31"/>
      <c r="AF31" s="153"/>
      <c r="AG31"/>
      <c r="AH31"/>
      <c r="AI31" s="153"/>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s="153"/>
      <c r="CL31"/>
      <c r="CM31"/>
      <c r="CN31" s="153"/>
    </row>
    <row r="32" spans="3:92" x14ac:dyDescent="0.25">
      <c r="C32"/>
      <c r="D32"/>
      <c r="E32"/>
      <c r="F32"/>
      <c r="G32"/>
      <c r="H32"/>
      <c r="I32"/>
      <c r="J32"/>
      <c r="K32"/>
      <c r="L32"/>
      <c r="M32" s="153"/>
      <c r="N32" s="153"/>
      <c r="O32"/>
      <c r="P32" s="153"/>
      <c r="Q32" s="153"/>
      <c r="R32"/>
      <c r="S32" s="153"/>
      <c r="T32"/>
      <c r="U32"/>
      <c r="V32" s="153"/>
      <c r="W32"/>
      <c r="X32"/>
      <c r="Y32"/>
      <c r="Z32" s="153"/>
      <c r="AA32"/>
      <c r="AB32"/>
      <c r="AC32" s="153"/>
      <c r="AD32"/>
      <c r="AE32"/>
      <c r="AF32" s="153"/>
      <c r="AG32"/>
      <c r="AH32"/>
      <c r="AI32"/>
      <c r="AJ32"/>
      <c r="AK32" s="153"/>
      <c r="AL32"/>
      <c r="AM32"/>
      <c r="AN32"/>
      <c r="AO32"/>
      <c r="AP32"/>
      <c r="AQ32"/>
      <c r="AR32"/>
      <c r="AS32"/>
      <c r="AT32"/>
      <c r="AU32" s="153"/>
      <c r="AV32"/>
      <c r="AW32"/>
      <c r="AX32"/>
      <c r="AY32"/>
      <c r="AZ32" s="153"/>
      <c r="BA32"/>
      <c r="BB32"/>
      <c r="BC32"/>
      <c r="BD32"/>
      <c r="BE32"/>
      <c r="BF32"/>
      <c r="BG32"/>
      <c r="BH32"/>
      <c r="BI32"/>
      <c r="BJ32"/>
      <c r="BK32"/>
      <c r="BL32"/>
      <c r="BM32"/>
      <c r="BN32"/>
      <c r="BO32"/>
      <c r="BP32"/>
      <c r="BQ32"/>
      <c r="BR32"/>
      <c r="BS32"/>
      <c r="BT32"/>
      <c r="BU32"/>
      <c r="BV32"/>
      <c r="BW32"/>
      <c r="BX32"/>
      <c r="BY32"/>
      <c r="BZ32"/>
      <c r="CA32" s="153"/>
      <c r="CB32"/>
      <c r="CC32"/>
      <c r="CD32" s="153"/>
      <c r="CE32"/>
      <c r="CF32"/>
      <c r="CG32"/>
      <c r="CH32"/>
      <c r="CI32"/>
      <c r="CJ32"/>
      <c r="CK32"/>
      <c r="CL32"/>
      <c r="CM32"/>
      <c r="CN32"/>
    </row>
    <row r="33" spans="3:92" x14ac:dyDescent="0.25">
      <c r="C33"/>
      <c r="D33"/>
      <c r="E33"/>
      <c r="F33"/>
      <c r="G33"/>
      <c r="H33"/>
      <c r="I33"/>
      <c r="J33"/>
      <c r="K33" s="153"/>
      <c r="L33" s="153"/>
      <c r="M33"/>
      <c r="N33" s="153"/>
      <c r="O33"/>
      <c r="P33"/>
      <c r="Q33" s="153"/>
      <c r="R33" s="153"/>
      <c r="S33" s="153"/>
      <c r="T33"/>
      <c r="U33" s="153"/>
      <c r="V33" s="153"/>
      <c r="W33"/>
      <c r="X33"/>
      <c r="Y33"/>
      <c r="Z33" s="153"/>
      <c r="AA33" s="153"/>
      <c r="AB33"/>
      <c r="AC33" s="153"/>
      <c r="AD33"/>
      <c r="AE33"/>
      <c r="AF33"/>
      <c r="AG33"/>
      <c r="AH33"/>
      <c r="AI33"/>
      <c r="AJ33"/>
      <c r="AK33" s="153"/>
      <c r="AL33"/>
      <c r="AM33"/>
      <c r="AN33"/>
      <c r="AO33"/>
      <c r="AP33" s="153"/>
      <c r="AQ33"/>
      <c r="AR33"/>
      <c r="AS33"/>
      <c r="AT33"/>
      <c r="AU33"/>
      <c r="AV33"/>
      <c r="AW33"/>
      <c r="AX33"/>
      <c r="AY33"/>
      <c r="AZ33" s="153"/>
      <c r="BA33"/>
      <c r="BB33"/>
      <c r="BC33"/>
      <c r="BD33"/>
      <c r="BE33" s="153"/>
      <c r="BF33"/>
      <c r="BG33"/>
      <c r="BH33"/>
      <c r="BI33"/>
      <c r="BJ33"/>
      <c r="BK33"/>
      <c r="BL33"/>
      <c r="BM33"/>
      <c r="BN33"/>
      <c r="BO33"/>
      <c r="BP33"/>
      <c r="BQ33"/>
      <c r="BR33"/>
      <c r="BS33"/>
      <c r="BT33"/>
      <c r="BU33"/>
      <c r="BV33"/>
      <c r="BW33"/>
      <c r="BX33"/>
      <c r="BY33"/>
      <c r="BZ33"/>
      <c r="CA33"/>
      <c r="CB33"/>
      <c r="CC33"/>
      <c r="CD33"/>
      <c r="CE33"/>
      <c r="CF33" s="153"/>
      <c r="CG33"/>
      <c r="CH33"/>
      <c r="CI33" s="153"/>
      <c r="CJ33"/>
      <c r="CK33"/>
      <c r="CL33"/>
      <c r="CM33"/>
      <c r="CN33"/>
    </row>
    <row r="34" spans="3:92" x14ac:dyDescent="0.25">
      <c r="C34"/>
      <c r="D34"/>
      <c r="E34"/>
      <c r="F34"/>
      <c r="G34"/>
      <c r="H34"/>
      <c r="I34"/>
      <c r="J34"/>
      <c r="K34" s="153"/>
      <c r="L34"/>
      <c r="M34"/>
      <c r="N34" s="153"/>
      <c r="O34"/>
      <c r="P34"/>
      <c r="Q34" s="153"/>
      <c r="R34"/>
      <c r="S34" s="153"/>
      <c r="T34" s="153"/>
      <c r="U34"/>
      <c r="V34" s="153"/>
      <c r="W34"/>
      <c r="X34"/>
      <c r="Y34"/>
      <c r="Z34"/>
      <c r="AA34"/>
      <c r="AB34"/>
      <c r="AC34" s="153"/>
      <c r="AD34"/>
      <c r="AE34"/>
      <c r="AF34" s="153"/>
      <c r="AG34"/>
      <c r="AH34"/>
      <c r="AI34"/>
      <c r="AJ34"/>
      <c r="AK34"/>
      <c r="AL34"/>
      <c r="AM34"/>
      <c r="AN34"/>
      <c r="AO34"/>
      <c r="AP34" s="153"/>
      <c r="AQ34"/>
      <c r="AR34"/>
      <c r="AS34"/>
      <c r="AT34"/>
      <c r="AU34"/>
      <c r="AV34"/>
      <c r="AW34"/>
      <c r="AX34"/>
      <c r="AY34"/>
      <c r="AZ34"/>
      <c r="BA34"/>
      <c r="BB34"/>
      <c r="BC34"/>
      <c r="BD34"/>
      <c r="BE34"/>
      <c r="BF34"/>
      <c r="BG34"/>
      <c r="BH34"/>
      <c r="BI34"/>
      <c r="BJ34"/>
      <c r="BK34"/>
      <c r="BL34"/>
      <c r="BM34"/>
      <c r="BN34"/>
      <c r="BO34"/>
      <c r="BP34"/>
      <c r="BQ34" s="153"/>
      <c r="BR34"/>
      <c r="BS34"/>
      <c r="BT34" s="153"/>
      <c r="BU34"/>
      <c r="BV34"/>
      <c r="BW34"/>
      <c r="BX34"/>
      <c r="BY34"/>
      <c r="BZ34"/>
      <c r="CA34"/>
      <c r="CB34"/>
      <c r="CC34"/>
      <c r="CD34"/>
      <c r="CE34"/>
      <c r="CF34"/>
      <c r="CG34"/>
      <c r="CH34"/>
      <c r="CI34"/>
      <c r="CJ34"/>
      <c r="CK34"/>
      <c r="CL34"/>
      <c r="CM34"/>
      <c r="CN34"/>
    </row>
    <row r="35" spans="3:92" x14ac:dyDescent="0.25">
      <c r="C35"/>
      <c r="D35"/>
      <c r="E35"/>
      <c r="F35"/>
      <c r="G35"/>
      <c r="H35"/>
      <c r="I35"/>
      <c r="J35"/>
      <c r="K35" s="153"/>
      <c r="L35"/>
      <c r="M35"/>
      <c r="N35" s="153"/>
      <c r="O35"/>
      <c r="P35"/>
      <c r="Q35" s="153"/>
      <c r="R35" s="153"/>
      <c r="S35" s="153"/>
      <c r="T35" s="153"/>
      <c r="U35" s="153"/>
      <c r="V35" s="153"/>
      <c r="W35"/>
      <c r="X35"/>
      <c r="Y35"/>
      <c r="Z35"/>
      <c r="AA35"/>
      <c r="AB35"/>
      <c r="AC35" s="153"/>
      <c r="AD35"/>
      <c r="AE35"/>
      <c r="AF35" s="153"/>
      <c r="AG35"/>
      <c r="AH35"/>
      <c r="AI35"/>
      <c r="AJ35"/>
      <c r="AK35"/>
      <c r="AL35"/>
      <c r="AM35"/>
      <c r="AN35"/>
      <c r="AO35"/>
      <c r="AP35" s="153"/>
      <c r="AQ35"/>
      <c r="AR35"/>
      <c r="AS35"/>
      <c r="AT35"/>
      <c r="AU35" s="153"/>
      <c r="AV35"/>
      <c r="AW35"/>
      <c r="AX35"/>
      <c r="AY35"/>
      <c r="AZ35" s="153"/>
      <c r="BA35"/>
      <c r="BB35"/>
      <c r="BC35"/>
      <c r="BD35"/>
      <c r="BE35" s="153"/>
      <c r="BF35"/>
      <c r="BG35"/>
      <c r="BH35"/>
      <c r="BI35"/>
      <c r="BJ35"/>
      <c r="BK35"/>
      <c r="BL35"/>
      <c r="BM35"/>
      <c r="BN35"/>
      <c r="BO35"/>
      <c r="BP35"/>
      <c r="BQ35"/>
      <c r="BR35"/>
      <c r="BS35"/>
      <c r="BT35"/>
      <c r="BU35"/>
      <c r="BV35" s="153"/>
      <c r="BW35"/>
      <c r="BX35"/>
      <c r="BY35" s="153"/>
      <c r="BZ35"/>
      <c r="CA35"/>
      <c r="CB35"/>
      <c r="CC35"/>
      <c r="CD35"/>
      <c r="CE35"/>
      <c r="CF35"/>
      <c r="CG35"/>
      <c r="CH35"/>
      <c r="CI35"/>
      <c r="CJ35"/>
      <c r="CK35"/>
      <c r="CL35"/>
      <c r="CM35"/>
      <c r="CN35"/>
    </row>
    <row r="36" spans="3:92" x14ac:dyDescent="0.25">
      <c r="C36"/>
      <c r="D36"/>
      <c r="E36" s="153"/>
      <c r="F36"/>
      <c r="G36"/>
      <c r="H36"/>
      <c r="I36"/>
      <c r="J36"/>
      <c r="K36"/>
      <c r="L36"/>
      <c r="M36"/>
      <c r="N36" s="153"/>
      <c r="O36"/>
      <c r="P36"/>
      <c r="Q36" s="153"/>
      <c r="R36"/>
      <c r="S36"/>
      <c r="T36"/>
      <c r="U36"/>
      <c r="V36"/>
      <c r="W36" s="153"/>
      <c r="X36"/>
      <c r="Y36"/>
      <c r="Z36"/>
      <c r="AA36"/>
      <c r="AB36"/>
      <c r="AC36"/>
      <c r="AD36"/>
      <c r="AE36"/>
      <c r="AF36"/>
      <c r="AG36"/>
      <c r="AH36"/>
      <c r="AI36"/>
      <c r="AJ36"/>
      <c r="AK36"/>
      <c r="AL36"/>
      <c r="AM36"/>
      <c r="AN36"/>
      <c r="AO36"/>
      <c r="AP36"/>
      <c r="AQ36"/>
      <c r="AR36"/>
      <c r="AS36"/>
      <c r="AT36"/>
      <c r="AU36" s="153"/>
      <c r="AV36"/>
      <c r="AW36"/>
      <c r="AX36"/>
      <c r="AY36"/>
      <c r="AZ36"/>
      <c r="BA36"/>
      <c r="BB36"/>
      <c r="BC36"/>
      <c r="BD36"/>
      <c r="BE36" s="153"/>
      <c r="BF36"/>
      <c r="BG36"/>
      <c r="BH36"/>
      <c r="BI36"/>
      <c r="BJ36"/>
      <c r="BK36"/>
      <c r="BL36" s="153"/>
      <c r="BM36"/>
      <c r="BN36"/>
      <c r="BO36" s="153"/>
      <c r="BP36"/>
      <c r="BQ36"/>
      <c r="BR36"/>
      <c r="BS36"/>
      <c r="BT36"/>
      <c r="BU36"/>
      <c r="BV36"/>
      <c r="BW36"/>
      <c r="BX36"/>
      <c r="BY36"/>
      <c r="BZ36"/>
      <c r="CA36"/>
      <c r="CB36"/>
      <c r="CC36"/>
      <c r="CD36"/>
      <c r="CE36"/>
      <c r="CF36"/>
      <c r="CG36"/>
      <c r="CH36"/>
      <c r="CI36"/>
      <c r="CJ36"/>
      <c r="CK36"/>
      <c r="CL36"/>
      <c r="CM36"/>
      <c r="CN36"/>
    </row>
    <row r="37" spans="3:92" x14ac:dyDescent="0.25">
      <c r="C37"/>
      <c r="D37"/>
      <c r="E37"/>
      <c r="F37"/>
      <c r="G37"/>
      <c r="H37" s="153"/>
      <c r="I37"/>
      <c r="J37"/>
      <c r="K37" s="153"/>
      <c r="L37"/>
      <c r="M37" s="153"/>
      <c r="N37" s="153"/>
      <c r="O37"/>
      <c r="P37" s="153"/>
      <c r="Q37" s="153"/>
      <c r="R37"/>
      <c r="S37" s="153"/>
      <c r="T37"/>
      <c r="U37"/>
      <c r="V37" s="153"/>
      <c r="W37" s="153"/>
      <c r="X37"/>
      <c r="Y37"/>
      <c r="Z37"/>
      <c r="AA37"/>
      <c r="AB37"/>
      <c r="AC37"/>
      <c r="AD37"/>
      <c r="AE37"/>
      <c r="AF37"/>
      <c r="AG37"/>
      <c r="AH37"/>
      <c r="AI37"/>
      <c r="AJ37"/>
      <c r="AK37"/>
      <c r="AL37"/>
      <c r="AM37"/>
      <c r="AN37"/>
      <c r="AO37"/>
      <c r="AP37"/>
      <c r="AQ37"/>
      <c r="AR37"/>
      <c r="AS37"/>
      <c r="AT37"/>
      <c r="AU37"/>
      <c r="AV37"/>
      <c r="AW37"/>
      <c r="AX37"/>
      <c r="AY37"/>
      <c r="AZ37" s="153"/>
      <c r="BA37"/>
      <c r="BB37"/>
      <c r="BC37"/>
      <c r="BD37"/>
      <c r="BE37"/>
      <c r="BF37"/>
      <c r="BG37"/>
      <c r="BH37"/>
      <c r="BI37"/>
      <c r="BJ37"/>
      <c r="BK37"/>
      <c r="BL37"/>
      <c r="BM37"/>
      <c r="BN37"/>
      <c r="BO37"/>
      <c r="BP37"/>
      <c r="BQ37" s="153"/>
      <c r="BR37"/>
      <c r="BS37"/>
      <c r="BT37" s="153"/>
      <c r="BU37"/>
      <c r="BV37"/>
      <c r="BW37"/>
      <c r="BX37"/>
      <c r="BY37"/>
      <c r="BZ37"/>
      <c r="CA37"/>
      <c r="CB37"/>
      <c r="CC37"/>
      <c r="CD37"/>
      <c r="CE37"/>
      <c r="CF37"/>
      <c r="CG37"/>
      <c r="CH37"/>
      <c r="CI37"/>
      <c r="CJ37"/>
      <c r="CK37"/>
      <c r="CL37"/>
      <c r="CM37"/>
      <c r="CN37"/>
    </row>
    <row r="38" spans="3:92" x14ac:dyDescent="0.25">
      <c r="C38"/>
      <c r="D38"/>
      <c r="E38"/>
      <c r="F38"/>
      <c r="G38"/>
      <c r="H38" s="153"/>
      <c r="I38"/>
      <c r="J38"/>
      <c r="K38" s="153"/>
      <c r="L38"/>
      <c r="M38"/>
      <c r="N38" s="153"/>
      <c r="O38"/>
      <c r="P38"/>
      <c r="Q38"/>
      <c r="R38" s="153"/>
      <c r="S38" s="153"/>
      <c r="T38"/>
      <c r="U38" s="153"/>
      <c r="V38" s="153"/>
      <c r="W38"/>
      <c r="X38"/>
      <c r="Y38"/>
      <c r="Z38" s="153"/>
      <c r="AA38" s="153"/>
      <c r="AB38"/>
      <c r="AC38"/>
      <c r="AD38"/>
      <c r="AE38"/>
      <c r="AF38"/>
      <c r="AG38"/>
      <c r="AH38"/>
      <c r="AI38"/>
      <c r="AJ38"/>
      <c r="AK38"/>
      <c r="AL38"/>
      <c r="AM38"/>
      <c r="AN38"/>
      <c r="AO38"/>
      <c r="AP38"/>
      <c r="AQ38"/>
      <c r="AR38"/>
      <c r="AS38"/>
      <c r="AT38"/>
      <c r="AU38"/>
      <c r="AV38"/>
      <c r="AW38"/>
      <c r="AX38"/>
      <c r="AY38"/>
      <c r="AZ38" s="153"/>
      <c r="BA38"/>
      <c r="BB38"/>
      <c r="BC38"/>
      <c r="BD38"/>
      <c r="BE38" s="153"/>
      <c r="BF38"/>
      <c r="BG38" s="153"/>
      <c r="BH38"/>
      <c r="BI38"/>
      <c r="BJ38" s="153"/>
      <c r="BK38"/>
      <c r="BL38"/>
      <c r="BM38"/>
      <c r="BN38"/>
      <c r="BO38"/>
      <c r="BP38"/>
      <c r="BQ38"/>
      <c r="BR38"/>
      <c r="BS38"/>
      <c r="BT38"/>
      <c r="BU38"/>
      <c r="BV38"/>
      <c r="BW38"/>
      <c r="BX38"/>
      <c r="BY38"/>
      <c r="BZ38"/>
      <c r="CA38"/>
      <c r="CB38"/>
      <c r="CC38"/>
      <c r="CD38"/>
      <c r="CE38"/>
      <c r="CF38"/>
      <c r="CG38"/>
      <c r="CH38"/>
      <c r="CI38"/>
      <c r="CJ38"/>
      <c r="CK38"/>
      <c r="CL38"/>
      <c r="CM38"/>
      <c r="CN38"/>
    </row>
    <row r="39" spans="3:92" x14ac:dyDescent="0.25">
      <c r="C39"/>
      <c r="D39"/>
      <c r="E39"/>
      <c r="F39"/>
      <c r="G39"/>
      <c r="H39"/>
      <c r="I39"/>
      <c r="J39"/>
      <c r="K39" s="153"/>
      <c r="L39"/>
      <c r="M39"/>
      <c r="N39" s="153"/>
      <c r="O39"/>
      <c r="P39"/>
      <c r="Q39"/>
      <c r="R39"/>
      <c r="S39" s="153"/>
      <c r="T39"/>
      <c r="U39"/>
      <c r="V39" s="153"/>
      <c r="W39"/>
      <c r="X39"/>
      <c r="Y39"/>
      <c r="Z39" s="153"/>
      <c r="AA39"/>
      <c r="AB39"/>
      <c r="AC39"/>
      <c r="AD39"/>
      <c r="AE39"/>
      <c r="AF39"/>
      <c r="AG39"/>
      <c r="AH39"/>
      <c r="AI39"/>
      <c r="AJ39"/>
      <c r="AK39"/>
      <c r="AL39"/>
      <c r="AM39"/>
      <c r="AN39"/>
      <c r="AO39"/>
      <c r="AP39"/>
      <c r="AQ39"/>
      <c r="AR39"/>
      <c r="AS39"/>
      <c r="AT39"/>
      <c r="AU39"/>
      <c r="AV39"/>
      <c r="AW39"/>
      <c r="AX39"/>
      <c r="AY39"/>
      <c r="AZ39"/>
      <c r="BA39"/>
      <c r="BB39"/>
      <c r="BC39"/>
      <c r="BD39"/>
      <c r="BE39" s="153"/>
      <c r="BF39"/>
      <c r="BG39"/>
      <c r="BH39"/>
      <c r="BI39"/>
      <c r="BJ39"/>
      <c r="BK39"/>
      <c r="BL39" s="153"/>
      <c r="BM39"/>
      <c r="BN39"/>
      <c r="BO39" s="153"/>
      <c r="BP39"/>
      <c r="BQ39"/>
      <c r="BR39"/>
      <c r="BS39"/>
      <c r="BT39"/>
      <c r="BU39"/>
      <c r="BV39"/>
      <c r="BW39"/>
      <c r="BX39"/>
      <c r="BY39"/>
      <c r="BZ39"/>
      <c r="CA39"/>
      <c r="CB39"/>
      <c r="CC39"/>
      <c r="CD39"/>
      <c r="CE39"/>
      <c r="CF39"/>
      <c r="CG39"/>
      <c r="CH39"/>
      <c r="CI39"/>
      <c r="CJ39"/>
      <c r="CK39"/>
      <c r="CL39"/>
      <c r="CM39"/>
      <c r="CN39"/>
    </row>
    <row r="40" spans="3:92" x14ac:dyDescent="0.25">
      <c r="C40"/>
      <c r="D40"/>
      <c r="E40"/>
      <c r="F40"/>
      <c r="G40"/>
      <c r="H40"/>
      <c r="I40"/>
      <c r="J40"/>
      <c r="K40"/>
      <c r="L40"/>
      <c r="M40"/>
      <c r="N40" s="153"/>
      <c r="O40"/>
      <c r="P40"/>
      <c r="Q40" s="153"/>
      <c r="R40" s="153"/>
      <c r="S40" s="153"/>
      <c r="T40"/>
      <c r="U40" s="153"/>
      <c r="V40" s="153"/>
      <c r="W40"/>
      <c r="X40"/>
      <c r="Y40"/>
      <c r="Z40"/>
      <c r="AA40" s="153"/>
      <c r="AB40"/>
      <c r="AC40" s="153"/>
      <c r="AD40"/>
      <c r="AE40"/>
      <c r="AF40"/>
      <c r="AG40"/>
      <c r="AH40"/>
      <c r="AI40"/>
      <c r="AJ40"/>
      <c r="AK40"/>
      <c r="AL40"/>
      <c r="AM40"/>
      <c r="AN40"/>
      <c r="AO40"/>
      <c r="AP40"/>
      <c r="AQ40"/>
      <c r="AR40"/>
      <c r="AS40"/>
      <c r="AT40"/>
      <c r="AU40"/>
      <c r="AV40"/>
      <c r="AW40"/>
      <c r="AX40"/>
      <c r="AY40"/>
      <c r="AZ40"/>
      <c r="BA40"/>
      <c r="BB40" s="153"/>
      <c r="BC40"/>
      <c r="BD40"/>
      <c r="BE40" s="153"/>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row>
    <row r="41" spans="3:92" x14ac:dyDescent="0.25">
      <c r="C41"/>
      <c r="D41"/>
      <c r="E41"/>
      <c r="F41"/>
      <c r="G41"/>
      <c r="H41"/>
      <c r="I41" s="153"/>
      <c r="J41"/>
      <c r="K41"/>
      <c r="L41" s="153"/>
      <c r="M41"/>
      <c r="N41"/>
      <c r="O41"/>
      <c r="P41"/>
      <c r="Q41" s="153"/>
      <c r="R41"/>
      <c r="S41"/>
      <c r="T41"/>
      <c r="U41"/>
      <c r="V41"/>
      <c r="W41"/>
      <c r="X41"/>
      <c r="Y41"/>
      <c r="Z41"/>
      <c r="AA41"/>
      <c r="AB41"/>
      <c r="AC41"/>
      <c r="AD41"/>
      <c r="AE41"/>
      <c r="AF41" s="153"/>
      <c r="AG41"/>
      <c r="AH41"/>
      <c r="AI41"/>
      <c r="AJ41"/>
      <c r="AK41" s="153"/>
      <c r="AL41"/>
      <c r="AM41"/>
      <c r="AN41"/>
      <c r="AO41"/>
      <c r="AP41"/>
      <c r="AQ41"/>
      <c r="AR41"/>
      <c r="AS41"/>
      <c r="AT41"/>
      <c r="AU41" s="153"/>
      <c r="AV41"/>
      <c r="AW41"/>
      <c r="AX41"/>
      <c r="AY41"/>
      <c r="AZ41"/>
      <c r="BA41"/>
      <c r="BB41"/>
      <c r="BC41"/>
      <c r="BD41"/>
      <c r="BE41"/>
      <c r="BF41"/>
      <c r="BG41" s="153"/>
      <c r="BH41"/>
      <c r="BI41"/>
      <c r="BJ41" s="153"/>
      <c r="BK41"/>
      <c r="BL41"/>
      <c r="BM41"/>
      <c r="BN41"/>
      <c r="BO41"/>
      <c r="BP41"/>
      <c r="BQ41"/>
      <c r="BR41"/>
      <c r="BS41"/>
      <c r="BT41"/>
      <c r="BU41"/>
      <c r="BV41"/>
      <c r="BW41"/>
      <c r="BX41"/>
      <c r="BY41"/>
      <c r="BZ41"/>
      <c r="CA41"/>
      <c r="CB41"/>
      <c r="CC41"/>
      <c r="CD41"/>
      <c r="CE41"/>
      <c r="CF41"/>
      <c r="CG41"/>
      <c r="CH41"/>
      <c r="CI41"/>
      <c r="CJ41"/>
      <c r="CK41"/>
      <c r="CL41"/>
      <c r="CM41"/>
      <c r="CN41"/>
    </row>
    <row r="42" spans="3:92" x14ac:dyDescent="0.25">
      <c r="C42"/>
      <c r="D42"/>
      <c r="E42" s="153"/>
      <c r="F42"/>
      <c r="G42"/>
      <c r="H42" s="153"/>
      <c r="I42" s="153"/>
      <c r="J42"/>
      <c r="K42" s="153"/>
      <c r="L42" s="153"/>
      <c r="M42"/>
      <c r="N42" s="153"/>
      <c r="O42"/>
      <c r="P42"/>
      <c r="Q42" s="153"/>
      <c r="R42"/>
      <c r="S42"/>
      <c r="T42" s="153"/>
      <c r="U42"/>
      <c r="V42"/>
      <c r="W42"/>
      <c r="X42"/>
      <c r="Y42"/>
      <c r="Z42"/>
      <c r="AA42" s="153"/>
      <c r="AB42"/>
      <c r="AC42"/>
      <c r="AD42"/>
      <c r="AE42"/>
      <c r="AF42" s="153"/>
      <c r="AG42"/>
      <c r="AH42"/>
      <c r="AI42"/>
      <c r="AJ42"/>
      <c r="AK42" s="153"/>
      <c r="AL42"/>
      <c r="AM42"/>
      <c r="AN42"/>
      <c r="AO42"/>
      <c r="AP42" s="153"/>
      <c r="AQ42"/>
      <c r="AR42"/>
      <c r="AS42"/>
      <c r="AT42"/>
      <c r="AU42"/>
      <c r="AV42"/>
      <c r="AW42" s="153"/>
      <c r="AX42"/>
      <c r="AY42"/>
      <c r="AZ42" s="153"/>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row>
    <row r="43" spans="3:92" x14ac:dyDescent="0.25">
      <c r="C43"/>
      <c r="D43"/>
      <c r="E43"/>
      <c r="F43"/>
      <c r="G43"/>
      <c r="H43" s="153"/>
      <c r="I43"/>
      <c r="J43"/>
      <c r="K43"/>
      <c r="L43"/>
      <c r="M43" s="153"/>
      <c r="N43" s="153"/>
      <c r="O43"/>
      <c r="P43" s="153"/>
      <c r="Q43" s="153"/>
      <c r="R43"/>
      <c r="S43" s="153"/>
      <c r="T43" s="153"/>
      <c r="U43"/>
      <c r="V43" s="153"/>
      <c r="W43"/>
      <c r="X43"/>
      <c r="Y43"/>
      <c r="Z43"/>
      <c r="AA43"/>
      <c r="AB43"/>
      <c r="AC43"/>
      <c r="AD43"/>
      <c r="AE43"/>
      <c r="AF43" s="153"/>
      <c r="AG43"/>
      <c r="AH43"/>
      <c r="AI43" s="153"/>
      <c r="AJ43"/>
      <c r="AK43"/>
      <c r="AL43"/>
      <c r="AM43"/>
      <c r="AN43"/>
      <c r="AO43"/>
      <c r="AP43" s="153"/>
      <c r="AQ43"/>
      <c r="AR43"/>
      <c r="AS43"/>
      <c r="AT43"/>
      <c r="AU43"/>
      <c r="AV43"/>
      <c r="AW43"/>
      <c r="AX43"/>
      <c r="AY43"/>
      <c r="AZ43" s="153"/>
      <c r="BA43"/>
      <c r="BB43" s="153"/>
      <c r="BC43"/>
      <c r="BD43"/>
      <c r="BE43" s="15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row>
    <row r="44" spans="3:92" x14ac:dyDescent="0.25">
      <c r="C44"/>
      <c r="D44"/>
      <c r="E44"/>
      <c r="F44"/>
      <c r="G44"/>
      <c r="H44"/>
      <c r="I44"/>
      <c r="J44"/>
      <c r="K44" s="153"/>
      <c r="L44"/>
      <c r="M44"/>
      <c r="N44" s="153"/>
      <c r="O44"/>
      <c r="P44"/>
      <c r="Q44" s="153"/>
      <c r="R44"/>
      <c r="S44" s="153"/>
      <c r="T44"/>
      <c r="U44"/>
      <c r="V44" s="153"/>
      <c r="W44" s="153"/>
      <c r="X44"/>
      <c r="Y44"/>
      <c r="Z44"/>
      <c r="AA44"/>
      <c r="AB44"/>
      <c r="AC44"/>
      <c r="AD44"/>
      <c r="AE44"/>
      <c r="AF44"/>
      <c r="AG44"/>
      <c r="AH44"/>
      <c r="AI44" s="153"/>
      <c r="AJ44"/>
      <c r="AK44" s="153"/>
      <c r="AL44"/>
      <c r="AM44"/>
      <c r="AN44"/>
      <c r="AO44"/>
      <c r="AP44"/>
      <c r="AQ44"/>
      <c r="AR44" s="153"/>
      <c r="AS44"/>
      <c r="AT44"/>
      <c r="AU44" s="153"/>
      <c r="AV44"/>
      <c r="AW44"/>
      <c r="AX44"/>
      <c r="AY44"/>
      <c r="AZ44"/>
      <c r="BA44"/>
      <c r="BB44"/>
      <c r="BC44"/>
      <c r="BD44"/>
      <c r="BE44" s="153"/>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row>
    <row r="45" spans="3:92" x14ac:dyDescent="0.25">
      <c r="C45"/>
      <c r="D45"/>
      <c r="E45"/>
      <c r="F45"/>
      <c r="G45"/>
      <c r="H45"/>
      <c r="I45"/>
      <c r="J45"/>
      <c r="K45" s="153"/>
      <c r="L45"/>
      <c r="M45" s="153"/>
      <c r="N45" s="153"/>
      <c r="O45"/>
      <c r="P45" s="153"/>
      <c r="Q45" s="153"/>
      <c r="R45"/>
      <c r="S45" s="153"/>
      <c r="T45"/>
      <c r="U45"/>
      <c r="V45" s="153"/>
      <c r="W45" s="153"/>
      <c r="X45"/>
      <c r="Y45"/>
      <c r="Z45" s="153"/>
      <c r="AA45"/>
      <c r="AB45"/>
      <c r="AC45" s="153"/>
      <c r="AD45"/>
      <c r="AE45"/>
      <c r="AF45"/>
      <c r="AG45"/>
      <c r="AH45"/>
      <c r="AI45"/>
      <c r="AJ45"/>
      <c r="AK45"/>
      <c r="AL45"/>
      <c r="AM45"/>
      <c r="AN45"/>
      <c r="AO45"/>
      <c r="AP45" s="153"/>
      <c r="AQ45"/>
      <c r="AR45"/>
      <c r="AS45"/>
      <c r="AT45"/>
      <c r="AU45" s="153"/>
      <c r="AV45"/>
      <c r="AW45" s="153"/>
      <c r="AX45"/>
      <c r="AY45"/>
      <c r="AZ45" s="153"/>
      <c r="BA45"/>
      <c r="BB45"/>
      <c r="BC45"/>
      <c r="BD45"/>
      <c r="BE45" s="153"/>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row>
    <row r="46" spans="3:92" x14ac:dyDescent="0.25">
      <c r="C46"/>
      <c r="D46"/>
      <c r="E46"/>
      <c r="F46"/>
      <c r="G46"/>
      <c r="H46"/>
      <c r="I46"/>
      <c r="J46"/>
      <c r="K46" s="153"/>
      <c r="L46"/>
      <c r="M46"/>
      <c r="N46" s="153"/>
      <c r="O46"/>
      <c r="P46"/>
      <c r="Q46"/>
      <c r="R46" s="153"/>
      <c r="S46" s="153"/>
      <c r="T46"/>
      <c r="U46" s="153"/>
      <c r="V46" s="153"/>
      <c r="W46"/>
      <c r="X46"/>
      <c r="Y46"/>
      <c r="Z46" s="153"/>
      <c r="AA46"/>
      <c r="AB46"/>
      <c r="AC46" s="153"/>
      <c r="AD46"/>
      <c r="AE46"/>
      <c r="AF46" s="153"/>
      <c r="AG46"/>
      <c r="AH46"/>
      <c r="AI46"/>
      <c r="AJ46"/>
      <c r="AK46" s="153"/>
      <c r="AL46"/>
      <c r="AM46" s="153"/>
      <c r="AN46"/>
      <c r="AO46"/>
      <c r="AP46" s="153"/>
      <c r="AQ46"/>
      <c r="AR46"/>
      <c r="AS46"/>
      <c r="AT46"/>
      <c r="AU46" s="153"/>
      <c r="AV46"/>
      <c r="AW46"/>
      <c r="AX46"/>
      <c r="AY46"/>
      <c r="AZ46" s="153"/>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row>
    <row r="47" spans="3:92" x14ac:dyDescent="0.25">
      <c r="C47"/>
      <c r="D47"/>
      <c r="E47"/>
      <c r="F47"/>
      <c r="G47"/>
      <c r="H47"/>
      <c r="I47"/>
      <c r="J47"/>
      <c r="K47"/>
      <c r="L47"/>
      <c r="M47"/>
      <c r="N47" s="153"/>
      <c r="O47"/>
      <c r="P47"/>
      <c r="Q47" s="153"/>
      <c r="R47"/>
      <c r="S47" s="153"/>
      <c r="T47"/>
      <c r="U47"/>
      <c r="V47" s="153"/>
      <c r="W47"/>
      <c r="X47"/>
      <c r="Y47"/>
      <c r="Z47" s="153"/>
      <c r="AA47"/>
      <c r="AB47"/>
      <c r="AC47" s="153"/>
      <c r="AD47"/>
      <c r="AE47"/>
      <c r="AF47" s="153"/>
      <c r="AG47"/>
      <c r="AH47"/>
      <c r="AI47"/>
      <c r="AJ47"/>
      <c r="AK47" s="153"/>
      <c r="AL47"/>
      <c r="AM47"/>
      <c r="AN47"/>
      <c r="AO47"/>
      <c r="AP47" s="153"/>
      <c r="AQ47"/>
      <c r="AR47" s="153"/>
      <c r="AS47"/>
      <c r="AT47"/>
      <c r="AU47" s="153"/>
      <c r="AV47"/>
      <c r="AW47"/>
      <c r="AX47"/>
      <c r="AY47"/>
      <c r="AZ47" s="153"/>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row>
    <row r="48" spans="3:92" x14ac:dyDescent="0.25">
      <c r="C48"/>
      <c r="D48"/>
      <c r="E48"/>
      <c r="F48"/>
      <c r="G48"/>
      <c r="H48"/>
      <c r="I48"/>
      <c r="J48"/>
      <c r="K48"/>
      <c r="L48"/>
      <c r="M48"/>
      <c r="N48" s="153"/>
      <c r="O48"/>
      <c r="P48"/>
      <c r="Q48" s="153"/>
      <c r="R48" s="153"/>
      <c r="S48" s="153"/>
      <c r="T48"/>
      <c r="U48" s="153"/>
      <c r="V48" s="153"/>
      <c r="W48"/>
      <c r="X48"/>
      <c r="Y48"/>
      <c r="Z48"/>
      <c r="AA48"/>
      <c r="AB48"/>
      <c r="AC48" s="153"/>
      <c r="AD48"/>
      <c r="AE48"/>
      <c r="AF48" s="153"/>
      <c r="AG48"/>
      <c r="AH48" s="153"/>
      <c r="AI48" s="153"/>
      <c r="AJ48"/>
      <c r="AK48" s="153"/>
      <c r="AL48"/>
      <c r="AM48"/>
      <c r="AN48"/>
      <c r="AO48"/>
      <c r="AP48" s="153"/>
      <c r="AQ48"/>
      <c r="AR48"/>
      <c r="AS48"/>
      <c r="AT48"/>
      <c r="AU48" s="153"/>
      <c r="AV48"/>
      <c r="AW48"/>
      <c r="AX48"/>
      <c r="AY48"/>
      <c r="AZ48"/>
      <c r="BA48"/>
      <c r="BB48"/>
      <c r="BC48"/>
      <c r="BD48"/>
      <c r="BE48" s="153"/>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row>
    <row r="49" spans="3:92" x14ac:dyDescent="0.25">
      <c r="C49"/>
      <c r="D49"/>
      <c r="E49"/>
      <c r="F49"/>
      <c r="G49"/>
      <c r="H49"/>
      <c r="I49"/>
      <c r="J49"/>
      <c r="K49"/>
      <c r="L49"/>
      <c r="M49"/>
      <c r="N49" s="153"/>
      <c r="O49"/>
      <c r="P49"/>
      <c r="Q49" s="153"/>
      <c r="R49"/>
      <c r="S49" s="153"/>
      <c r="T49"/>
      <c r="U49"/>
      <c r="V49" s="153"/>
      <c r="W49"/>
      <c r="X49"/>
      <c r="Y49"/>
      <c r="Z49"/>
      <c r="AA49"/>
      <c r="AB49"/>
      <c r="AC49" s="153"/>
      <c r="AD49"/>
      <c r="AE49"/>
      <c r="AF49" s="153"/>
      <c r="AG49"/>
      <c r="AH49"/>
      <c r="AI49" s="153"/>
      <c r="AJ49"/>
      <c r="AK49"/>
      <c r="AL49"/>
      <c r="AM49" s="153"/>
      <c r="AN49"/>
      <c r="AO49"/>
      <c r="AP49" s="153"/>
      <c r="AQ49"/>
      <c r="AR49"/>
      <c r="AS49"/>
      <c r="AT49"/>
      <c r="AU49"/>
      <c r="AV49"/>
      <c r="AW49"/>
      <c r="AX49"/>
      <c r="AY49"/>
      <c r="AZ49" s="153"/>
      <c r="BA49"/>
      <c r="BB49"/>
      <c r="BC49"/>
      <c r="BD49"/>
      <c r="BE49" s="153"/>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row>
    <row r="50" spans="3:92" x14ac:dyDescent="0.25">
      <c r="C50"/>
      <c r="D50"/>
      <c r="E50"/>
      <c r="F50"/>
      <c r="G50"/>
      <c r="H50" s="153"/>
      <c r="I50"/>
      <c r="J50"/>
      <c r="K50"/>
      <c r="L50"/>
      <c r="M50"/>
      <c r="N50" s="153"/>
      <c r="O50"/>
      <c r="P50"/>
      <c r="Q50" s="153"/>
      <c r="R50"/>
      <c r="S50" s="153"/>
      <c r="T50" s="153"/>
      <c r="U50"/>
      <c r="V50" s="153"/>
      <c r="W50"/>
      <c r="X50"/>
      <c r="Y50"/>
      <c r="Z50" s="153"/>
      <c r="AA50"/>
      <c r="AB50"/>
      <c r="AC50" s="153"/>
      <c r="AD50"/>
      <c r="AE50"/>
      <c r="AF50" s="153"/>
      <c r="AG50"/>
      <c r="AH50"/>
      <c r="AI50"/>
      <c r="AJ50"/>
      <c r="AK50" s="153"/>
      <c r="AL50"/>
      <c r="AM50"/>
      <c r="AN50"/>
      <c r="AO50"/>
      <c r="AP50"/>
      <c r="AQ50"/>
      <c r="AR50" s="153"/>
      <c r="AS50"/>
      <c r="AT50"/>
      <c r="AU50" s="153"/>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row>
    <row r="51" spans="3:92" x14ac:dyDescent="0.25">
      <c r="C51"/>
      <c r="D51"/>
      <c r="E51"/>
      <c r="F51"/>
      <c r="G51"/>
      <c r="H51"/>
      <c r="I51"/>
      <c r="J51"/>
      <c r="K51" s="153"/>
      <c r="L51"/>
      <c r="M51"/>
      <c r="N51" s="153"/>
      <c r="O51"/>
      <c r="P51"/>
      <c r="Q51" s="153"/>
      <c r="R51"/>
      <c r="S51" s="153"/>
      <c r="T51"/>
      <c r="U51"/>
      <c r="V51" s="153"/>
      <c r="W51" s="153"/>
      <c r="X51"/>
      <c r="Y51"/>
      <c r="Z51"/>
      <c r="AA51"/>
      <c r="AB51"/>
      <c r="AC51" s="153"/>
      <c r="AD51"/>
      <c r="AE51"/>
      <c r="AF51"/>
      <c r="AG51"/>
      <c r="AH51" s="153"/>
      <c r="AI51"/>
      <c r="AJ51"/>
      <c r="AK51" s="153"/>
      <c r="AL51"/>
      <c r="AM51"/>
      <c r="AN51"/>
      <c r="AO51"/>
      <c r="AP51" s="153"/>
      <c r="AQ51"/>
      <c r="AR51"/>
      <c r="AS51"/>
      <c r="AT51"/>
      <c r="AU51"/>
      <c r="AV51"/>
      <c r="AW51"/>
      <c r="AX51"/>
      <c r="AY51"/>
      <c r="AZ51" s="153"/>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row>
    <row r="52" spans="3:92" x14ac:dyDescent="0.25">
      <c r="C52"/>
      <c r="D52"/>
      <c r="E52"/>
      <c r="F52"/>
      <c r="G52"/>
      <c r="H52"/>
      <c r="I52"/>
      <c r="J52"/>
      <c r="K52"/>
      <c r="L52"/>
      <c r="M52"/>
      <c r="N52" s="153"/>
      <c r="O52"/>
      <c r="P52"/>
      <c r="Q52" s="153"/>
      <c r="R52"/>
      <c r="S52"/>
      <c r="T52"/>
      <c r="U52"/>
      <c r="V52"/>
      <c r="W52"/>
      <c r="X52"/>
      <c r="Y52"/>
      <c r="Z52" s="153"/>
      <c r="AA52"/>
      <c r="AB52"/>
      <c r="AC52"/>
      <c r="AD52"/>
      <c r="AE52"/>
      <c r="AF52"/>
      <c r="AG52"/>
      <c r="AH52"/>
      <c r="AI52"/>
      <c r="AJ52"/>
      <c r="AK52"/>
      <c r="AL52"/>
      <c r="AM52"/>
      <c r="AN52"/>
      <c r="AO52"/>
      <c r="AP52" s="153"/>
      <c r="AQ52"/>
      <c r="AR52" s="153"/>
      <c r="AS52"/>
      <c r="AT52"/>
      <c r="AU52" s="153"/>
      <c r="AV52"/>
      <c r="AW52"/>
      <c r="AX52"/>
      <c r="AY52"/>
      <c r="AZ52"/>
      <c r="BA52"/>
      <c r="BB52"/>
      <c r="BC52"/>
      <c r="BD52"/>
      <c r="BE52" s="153"/>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row>
    <row r="53" spans="3:92" x14ac:dyDescent="0.25">
      <c r="C53"/>
      <c r="D53"/>
      <c r="E53"/>
      <c r="F53"/>
      <c r="G53"/>
      <c r="H53"/>
      <c r="I53"/>
      <c r="J53"/>
      <c r="K53"/>
      <c r="L53"/>
      <c r="M53"/>
      <c r="N53" s="153"/>
      <c r="O53"/>
      <c r="P53"/>
      <c r="Q53" s="153"/>
      <c r="R53"/>
      <c r="S53"/>
      <c r="T53"/>
      <c r="U53"/>
      <c r="V53"/>
      <c r="W53"/>
      <c r="X53"/>
      <c r="Y53"/>
      <c r="Z53" s="153"/>
      <c r="AA53"/>
      <c r="AB53"/>
      <c r="AC53" s="153"/>
      <c r="AD53"/>
      <c r="AE53"/>
      <c r="AF53"/>
      <c r="AG53"/>
      <c r="AH53" s="153"/>
      <c r="AI53"/>
      <c r="AJ53"/>
      <c r="AK53" s="153"/>
      <c r="AL53"/>
      <c r="AM53"/>
      <c r="AN53"/>
      <c r="AO53"/>
      <c r="AP53" s="153"/>
      <c r="AQ53"/>
      <c r="AR53"/>
      <c r="AS53"/>
      <c r="AT53"/>
      <c r="AU53" s="153"/>
      <c r="AV53"/>
      <c r="AW53"/>
      <c r="AX53"/>
      <c r="AY53"/>
      <c r="AZ53" s="1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row>
    <row r="54" spans="3:92" x14ac:dyDescent="0.25">
      <c r="C54"/>
      <c r="D54"/>
      <c r="E54"/>
      <c r="F54"/>
      <c r="G54"/>
      <c r="H54"/>
      <c r="I54"/>
      <c r="J54"/>
      <c r="K54" s="153"/>
      <c r="L54"/>
      <c r="M54"/>
      <c r="N54"/>
      <c r="O54"/>
      <c r="P54"/>
      <c r="Q54" s="153"/>
      <c r="R54"/>
      <c r="S54"/>
      <c r="T54" s="153"/>
      <c r="U54"/>
      <c r="V54"/>
      <c r="W54" s="153"/>
      <c r="X54"/>
      <c r="Y54"/>
      <c r="Z54"/>
      <c r="AA54"/>
      <c r="AB54"/>
      <c r="AC54"/>
      <c r="AD54"/>
      <c r="AE54"/>
      <c r="AF54" s="153"/>
      <c r="AG54"/>
      <c r="AH54" s="153"/>
      <c r="AI54"/>
      <c r="AJ54"/>
      <c r="AK54" s="153"/>
      <c r="AL54"/>
      <c r="AM54"/>
      <c r="AN54"/>
      <c r="AO54"/>
      <c r="AP54"/>
      <c r="AQ54"/>
      <c r="AR54"/>
      <c r="AS54"/>
      <c r="AT54"/>
      <c r="AU54"/>
      <c r="AV54"/>
      <c r="AW54"/>
      <c r="AX54"/>
      <c r="AY54"/>
      <c r="AZ54" s="153"/>
      <c r="BA54"/>
      <c r="BB54"/>
      <c r="BC54"/>
      <c r="BD54"/>
      <c r="BE54" s="153"/>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row>
    <row r="55" spans="3:92" x14ac:dyDescent="0.25">
      <c r="C55"/>
      <c r="D55"/>
      <c r="E55"/>
      <c r="F55"/>
      <c r="G55"/>
      <c r="H55"/>
      <c r="I55"/>
      <c r="J55"/>
      <c r="K55"/>
      <c r="L55"/>
      <c r="M55"/>
      <c r="N55" s="153"/>
      <c r="O55"/>
      <c r="P55"/>
      <c r="Q55" s="153"/>
      <c r="R55"/>
      <c r="S55"/>
      <c r="T55"/>
      <c r="U55"/>
      <c r="V55"/>
      <c r="W55" s="153"/>
      <c r="X55" s="153"/>
      <c r="Y55"/>
      <c r="Z55" s="153"/>
      <c r="AA55" s="153"/>
      <c r="AB55"/>
      <c r="AC55"/>
      <c r="AD55"/>
      <c r="AE55"/>
      <c r="AF55" s="153"/>
      <c r="AG55"/>
      <c r="AH55"/>
      <c r="AI55"/>
      <c r="AJ55"/>
      <c r="AK55"/>
      <c r="AL55"/>
      <c r="AM55"/>
      <c r="AN55"/>
      <c r="AO55"/>
      <c r="AP55"/>
      <c r="AQ55"/>
      <c r="AR55"/>
      <c r="AS55"/>
      <c r="AT55"/>
      <c r="AU55"/>
      <c r="AV55"/>
      <c r="AW55"/>
      <c r="AX55"/>
      <c r="AY55"/>
      <c r="AZ55" s="153"/>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row>
    <row r="56" spans="3:92" x14ac:dyDescent="0.25">
      <c r="C56"/>
      <c r="D56"/>
      <c r="E56"/>
      <c r="F56"/>
      <c r="G56"/>
      <c r="H56"/>
      <c r="I56"/>
      <c r="J56"/>
      <c r="K56" s="153"/>
      <c r="L56"/>
      <c r="M56"/>
      <c r="N56"/>
      <c r="O56"/>
      <c r="P56"/>
      <c r="Q56" s="153"/>
      <c r="R56"/>
      <c r="S56"/>
      <c r="T56"/>
      <c r="U56"/>
      <c r="V56" s="153"/>
      <c r="W56"/>
      <c r="X56"/>
      <c r="Y56"/>
      <c r="Z56" s="153"/>
      <c r="AA56"/>
      <c r="AB56"/>
      <c r="AC56" s="153"/>
      <c r="AD56"/>
      <c r="AE56"/>
      <c r="AF56" s="153"/>
      <c r="AG56"/>
      <c r="AH56"/>
      <c r="AI56"/>
      <c r="AJ56"/>
      <c r="AK56" s="153"/>
      <c r="AL56"/>
      <c r="AM56"/>
      <c r="AN56"/>
      <c r="AO56"/>
      <c r="AP56"/>
      <c r="AQ56"/>
      <c r="AR56"/>
      <c r="AS56"/>
      <c r="AT56"/>
      <c r="AU56" s="153"/>
      <c r="AV56"/>
      <c r="AW56"/>
      <c r="AX56"/>
      <c r="AY56"/>
      <c r="AZ56"/>
      <c r="BA56"/>
      <c r="BB56"/>
      <c r="BC56"/>
      <c r="BD56"/>
      <c r="BE56" s="153"/>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row>
    <row r="57" spans="3:92" x14ac:dyDescent="0.25">
      <c r="C57"/>
      <c r="D57"/>
      <c r="E57"/>
      <c r="F57"/>
      <c r="G57"/>
      <c r="H57"/>
      <c r="I57"/>
      <c r="J57"/>
      <c r="K57"/>
      <c r="L57"/>
      <c r="M57"/>
      <c r="N57" s="153"/>
      <c r="O57"/>
      <c r="P57"/>
      <c r="Q57" s="153"/>
      <c r="R57"/>
      <c r="S57" s="153"/>
      <c r="T57"/>
      <c r="U57"/>
      <c r="V57" s="153"/>
      <c r="W57"/>
      <c r="X57"/>
      <c r="Y57"/>
      <c r="Z57" s="153"/>
      <c r="AA57"/>
      <c r="AB57"/>
      <c r="AC57" s="153"/>
      <c r="AD57"/>
      <c r="AE57"/>
      <c r="AF57"/>
      <c r="AG57"/>
      <c r="AH57" s="153"/>
      <c r="AI57"/>
      <c r="AJ57"/>
      <c r="AK57" s="153"/>
      <c r="AL57"/>
      <c r="AM57"/>
      <c r="AN57"/>
      <c r="AO57"/>
      <c r="AP57" s="153"/>
      <c r="AQ57"/>
      <c r="AR57"/>
      <c r="AS57"/>
      <c r="AT57"/>
      <c r="AU57" s="153"/>
      <c r="AV57"/>
      <c r="AW57"/>
      <c r="AX57"/>
      <c r="AY57"/>
      <c r="AZ57" s="153"/>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row>
    <row r="58" spans="3:92" x14ac:dyDescent="0.25">
      <c r="C58"/>
      <c r="D58"/>
      <c r="E58"/>
      <c r="F58"/>
      <c r="G58" s="153"/>
      <c r="H58"/>
      <c r="I58"/>
      <c r="J58"/>
      <c r="K58"/>
      <c r="L58"/>
      <c r="M58"/>
      <c r="N58" s="153"/>
      <c r="O58"/>
      <c r="P58"/>
      <c r="Q58" s="153"/>
      <c r="R58"/>
      <c r="S58"/>
      <c r="T58" s="153"/>
      <c r="U58"/>
      <c r="V58" s="153"/>
      <c r="W58"/>
      <c r="X58"/>
      <c r="Y58"/>
      <c r="Z58"/>
      <c r="AA58"/>
      <c r="AB58"/>
      <c r="AC58" s="153"/>
      <c r="AD58"/>
      <c r="AE58"/>
      <c r="AF58" s="153"/>
      <c r="AG58"/>
      <c r="AH58"/>
      <c r="AI58"/>
      <c r="AJ58"/>
      <c r="AK58"/>
      <c r="AL58"/>
      <c r="AM58"/>
      <c r="AN58"/>
      <c r="AO58"/>
      <c r="AP58"/>
      <c r="AQ58"/>
      <c r="AR58"/>
      <c r="AS58"/>
      <c r="AT58"/>
      <c r="AU58"/>
      <c r="AV58"/>
      <c r="AW58"/>
      <c r="AX58"/>
      <c r="AY58"/>
      <c r="AZ58" s="153"/>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row>
    <row r="59" spans="3:92" x14ac:dyDescent="0.25">
      <c r="C59"/>
      <c r="D59"/>
      <c r="E59"/>
      <c r="F59"/>
      <c r="G59"/>
      <c r="H59"/>
      <c r="I59"/>
      <c r="J59"/>
      <c r="K59" s="153"/>
      <c r="L59" s="153"/>
      <c r="M59"/>
      <c r="N59" s="153"/>
      <c r="O59"/>
      <c r="P59"/>
      <c r="Q59" s="153"/>
      <c r="R59"/>
      <c r="S59"/>
      <c r="T59"/>
      <c r="U59"/>
      <c r="V59" s="153"/>
      <c r="W59" s="153"/>
      <c r="X59"/>
      <c r="Y59"/>
      <c r="Z59"/>
      <c r="AA59"/>
      <c r="AB59"/>
      <c r="AC59" s="153"/>
      <c r="AD59"/>
      <c r="AE59"/>
      <c r="AF59" s="153"/>
      <c r="AG59"/>
      <c r="AH59" s="153"/>
      <c r="AI59"/>
      <c r="AJ59"/>
      <c r="AK59" s="153"/>
      <c r="AL59"/>
      <c r="AM59"/>
      <c r="AN59"/>
      <c r="AO59"/>
      <c r="AP59" s="153"/>
      <c r="AQ59"/>
      <c r="AR59"/>
      <c r="AS59"/>
      <c r="AT59"/>
      <c r="AU59"/>
      <c r="AV59"/>
      <c r="AW59"/>
      <c r="AX59"/>
      <c r="AY59"/>
      <c r="AZ59" s="153"/>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row>
    <row r="60" spans="3:92" x14ac:dyDescent="0.25">
      <c r="C60"/>
      <c r="D60"/>
      <c r="E60"/>
      <c r="F60"/>
      <c r="G60" s="153"/>
      <c r="H60"/>
      <c r="I60"/>
      <c r="J60"/>
      <c r="K60"/>
      <c r="L60"/>
      <c r="M60"/>
      <c r="N60" s="153"/>
      <c r="O60"/>
      <c r="P60"/>
      <c r="Q60" s="153"/>
      <c r="R60"/>
      <c r="S60"/>
      <c r="T60"/>
      <c r="U60"/>
      <c r="V60"/>
      <c r="W60"/>
      <c r="X60"/>
      <c r="Y60"/>
      <c r="Z60" s="153"/>
      <c r="AA60"/>
      <c r="AB60"/>
      <c r="AC60" s="153"/>
      <c r="AD60"/>
      <c r="AE60"/>
      <c r="AF60" s="153"/>
      <c r="AG60"/>
      <c r="AH60"/>
      <c r="AI60"/>
      <c r="AJ60"/>
      <c r="AK60"/>
      <c r="AL60"/>
      <c r="AM60"/>
      <c r="AN60"/>
      <c r="AO60"/>
      <c r="AP60"/>
      <c r="AQ60"/>
      <c r="AR60"/>
      <c r="AS60"/>
      <c r="AT60"/>
      <c r="AU60" s="153"/>
      <c r="AV60"/>
      <c r="AW60"/>
      <c r="AX60"/>
      <c r="AY60"/>
      <c r="AZ60" s="153"/>
      <c r="BA60"/>
      <c r="BB60"/>
      <c r="BC60"/>
      <c r="BD60"/>
      <c r="BE60" s="153"/>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row>
    <row r="61" spans="3:92" x14ac:dyDescent="0.25">
      <c r="C61"/>
      <c r="D61"/>
      <c r="E61"/>
      <c r="F61"/>
      <c r="G61"/>
      <c r="H61"/>
      <c r="I61" s="153"/>
      <c r="J61"/>
      <c r="K61" s="153"/>
      <c r="L61" s="153"/>
      <c r="M61"/>
      <c r="N61" s="153"/>
      <c r="O61"/>
      <c r="P61"/>
      <c r="Q61" s="153"/>
      <c r="R61"/>
      <c r="S61"/>
      <c r="T61"/>
      <c r="U61"/>
      <c r="V61" s="153"/>
      <c r="W61"/>
      <c r="X61" s="153"/>
      <c r="Y61"/>
      <c r="Z61" s="153"/>
      <c r="AA61" s="153"/>
      <c r="AB61"/>
      <c r="AC61"/>
      <c r="AD61"/>
      <c r="AE61"/>
      <c r="AF61" s="153"/>
      <c r="AG61"/>
      <c r="AH61"/>
      <c r="AI61" s="153"/>
      <c r="AJ61"/>
      <c r="AK61"/>
      <c r="AL61"/>
      <c r="AM61"/>
      <c r="AN61"/>
      <c r="AO61"/>
      <c r="AP61"/>
      <c r="AQ61"/>
      <c r="AR61"/>
      <c r="AS61"/>
      <c r="AT61"/>
      <c r="AU61"/>
      <c r="AV61"/>
      <c r="AW61"/>
      <c r="AX61"/>
      <c r="AY61"/>
      <c r="AZ61"/>
      <c r="BA61"/>
      <c r="BB61"/>
      <c r="BC61"/>
      <c r="BD61"/>
      <c r="BE61" s="153"/>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row>
    <row r="62" spans="3:92" x14ac:dyDescent="0.25">
      <c r="C62"/>
      <c r="D62"/>
      <c r="E62"/>
      <c r="F62"/>
      <c r="G62"/>
      <c r="H62"/>
      <c r="I62"/>
      <c r="J62"/>
      <c r="K62"/>
      <c r="L62"/>
      <c r="M62"/>
      <c r="N62" s="153"/>
      <c r="O62"/>
      <c r="P62"/>
      <c r="Q62" s="153"/>
      <c r="R62"/>
      <c r="S62"/>
      <c r="T62"/>
      <c r="U62"/>
      <c r="V62" s="153"/>
      <c r="W62"/>
      <c r="X62"/>
      <c r="Y62"/>
      <c r="Z62"/>
      <c r="AA62"/>
      <c r="AB62"/>
      <c r="AC62" s="153"/>
      <c r="AD62"/>
      <c r="AE62"/>
      <c r="AF62"/>
      <c r="AG62"/>
      <c r="AH62"/>
      <c r="AI62" s="153"/>
      <c r="AJ62"/>
      <c r="AK62"/>
      <c r="AL62"/>
      <c r="AM62"/>
      <c r="AN62"/>
      <c r="AO62"/>
      <c r="AP62"/>
      <c r="AQ62"/>
      <c r="AR62"/>
      <c r="AS62"/>
      <c r="AT62"/>
      <c r="AU62" s="153"/>
      <c r="AV62"/>
      <c r="AW62"/>
      <c r="AX62"/>
      <c r="AY62"/>
      <c r="AZ62"/>
      <c r="BA62"/>
      <c r="BB62"/>
      <c r="BC62"/>
      <c r="BD62"/>
      <c r="BE62" s="153"/>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row>
    <row r="63" spans="3:92" x14ac:dyDescent="0.25">
      <c r="C63"/>
      <c r="D63"/>
      <c r="E63"/>
      <c r="F63"/>
      <c r="G63" s="153"/>
      <c r="H63"/>
      <c r="I63"/>
      <c r="J63"/>
      <c r="K63"/>
      <c r="L63"/>
      <c r="M63"/>
      <c r="N63" s="153"/>
      <c r="O63"/>
      <c r="P63"/>
      <c r="Q63"/>
      <c r="R63"/>
      <c r="S63" s="153"/>
      <c r="T63" s="153"/>
      <c r="U63"/>
      <c r="V63" s="153"/>
      <c r="W63"/>
      <c r="X63"/>
      <c r="Y63"/>
      <c r="Z63"/>
      <c r="AA63" s="153"/>
      <c r="AB63"/>
      <c r="AC63"/>
      <c r="AD63"/>
      <c r="AE63"/>
      <c r="AF63" s="153"/>
      <c r="AG63"/>
      <c r="AH63"/>
      <c r="AI63"/>
      <c r="AJ63"/>
      <c r="AK63"/>
      <c r="AL63"/>
      <c r="AM63"/>
      <c r="AN63"/>
      <c r="AO63"/>
      <c r="AP63"/>
      <c r="AQ63"/>
      <c r="AR63"/>
      <c r="AS63"/>
      <c r="AT63"/>
      <c r="AU63"/>
      <c r="AV63"/>
      <c r="AW63"/>
      <c r="AX63"/>
      <c r="AY63"/>
      <c r="AZ63" s="153"/>
      <c r="BA63"/>
      <c r="BB63"/>
      <c r="BC63"/>
      <c r="BD63"/>
      <c r="BE63" s="15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row>
    <row r="64" spans="3:92" x14ac:dyDescent="0.25">
      <c r="C64"/>
      <c r="D64"/>
      <c r="E64" s="153"/>
      <c r="F64"/>
      <c r="G64"/>
      <c r="H64"/>
      <c r="I64"/>
      <c r="J64"/>
      <c r="K64"/>
      <c r="L64"/>
      <c r="M64"/>
      <c r="N64" s="153"/>
      <c r="O64"/>
      <c r="P64"/>
      <c r="Q64" s="153"/>
      <c r="R64"/>
      <c r="S64"/>
      <c r="T64"/>
      <c r="U64"/>
      <c r="V64" s="153"/>
      <c r="W64" s="153"/>
      <c r="X64" s="153"/>
      <c r="Y64"/>
      <c r="Z64"/>
      <c r="AA64" s="153"/>
      <c r="AB64"/>
      <c r="AC64"/>
      <c r="AD64"/>
      <c r="AE64"/>
      <c r="AF64" s="153"/>
      <c r="AG64"/>
      <c r="AH64"/>
      <c r="AI64" s="153"/>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row>
    <row r="65" spans="3:92" x14ac:dyDescent="0.25">
      <c r="C65"/>
      <c r="D65"/>
      <c r="E65"/>
      <c r="F65"/>
      <c r="G65"/>
      <c r="H65" s="153"/>
      <c r="I65"/>
      <c r="J65"/>
      <c r="K65"/>
      <c r="L65"/>
      <c r="M65"/>
      <c r="N65"/>
      <c r="O65"/>
      <c r="P65"/>
      <c r="Q65"/>
      <c r="R65"/>
      <c r="S65"/>
      <c r="T65"/>
      <c r="U65"/>
      <c r="V65"/>
      <c r="W65" s="153"/>
      <c r="X65"/>
      <c r="Y65"/>
      <c r="Z65"/>
      <c r="AA65" s="153"/>
      <c r="AB65"/>
      <c r="AC65"/>
      <c r="AD65"/>
      <c r="AE65"/>
      <c r="AF65" s="153"/>
      <c r="AG65"/>
      <c r="AH65"/>
      <c r="AI65" s="153"/>
      <c r="AJ65"/>
      <c r="AK65" s="153"/>
      <c r="AL65"/>
      <c r="AM65"/>
      <c r="AN65"/>
      <c r="AO65"/>
      <c r="AP65"/>
      <c r="AQ65"/>
      <c r="AR65"/>
      <c r="AS65"/>
      <c r="AT65"/>
      <c r="AU65"/>
      <c r="AV65"/>
      <c r="AW65"/>
      <c r="AX65"/>
      <c r="AY65"/>
      <c r="AZ65" s="153"/>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row>
    <row r="66" spans="3:92" x14ac:dyDescent="0.25">
      <c r="C66"/>
      <c r="D66" s="153"/>
      <c r="E66"/>
      <c r="F66"/>
      <c r="G66" s="153"/>
      <c r="H66"/>
      <c r="I66"/>
      <c r="J66"/>
      <c r="K66" s="153"/>
      <c r="L66"/>
      <c r="M66"/>
      <c r="N66"/>
      <c r="O66"/>
      <c r="P66"/>
      <c r="Q66"/>
      <c r="R66"/>
      <c r="S66"/>
      <c r="T66"/>
      <c r="U66"/>
      <c r="V66"/>
      <c r="W66" s="153"/>
      <c r="X66" s="153"/>
      <c r="Y66"/>
      <c r="Z66" s="153"/>
      <c r="AA66" s="153"/>
      <c r="AB66"/>
      <c r="AC66"/>
      <c r="AD66"/>
      <c r="AE66"/>
      <c r="AF66"/>
      <c r="AG66"/>
      <c r="AH66"/>
      <c r="AI66" s="153"/>
      <c r="AJ66"/>
      <c r="AK66" s="153"/>
      <c r="AL66"/>
      <c r="AM66"/>
      <c r="AN66"/>
      <c r="AO66"/>
      <c r="AP66" s="153"/>
      <c r="AQ66"/>
      <c r="AR66"/>
      <c r="AS66"/>
      <c r="AT66"/>
      <c r="AU66"/>
      <c r="AV66"/>
      <c r="AW66"/>
      <c r="AX66"/>
      <c r="AY66"/>
      <c r="AZ66"/>
      <c r="BA66"/>
      <c r="BB66"/>
      <c r="BC66"/>
      <c r="BD66"/>
      <c r="BE66" s="153"/>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row>
    <row r="67" spans="3:92" x14ac:dyDescent="0.25">
      <c r="C67"/>
      <c r="D67"/>
      <c r="E67"/>
      <c r="F67"/>
      <c r="G67"/>
      <c r="H67"/>
      <c r="I67" s="153"/>
      <c r="J67"/>
      <c r="K67"/>
      <c r="L67" s="153"/>
      <c r="M67"/>
      <c r="N67" s="153"/>
      <c r="O67"/>
      <c r="P67"/>
      <c r="Q67" s="153"/>
      <c r="R67"/>
      <c r="S67"/>
      <c r="T67" s="153"/>
      <c r="U67"/>
      <c r="V67"/>
      <c r="W67"/>
      <c r="X67"/>
      <c r="Y67"/>
      <c r="Z67" s="153"/>
      <c r="AA67"/>
      <c r="AB67"/>
      <c r="AC67" s="153"/>
      <c r="AD67"/>
      <c r="AE67"/>
      <c r="AF67"/>
      <c r="AG67"/>
      <c r="AH67"/>
      <c r="AI67"/>
      <c r="AJ67"/>
      <c r="AK67" s="153"/>
      <c r="AL67"/>
      <c r="AM67"/>
      <c r="AN67"/>
      <c r="AO67"/>
      <c r="AP67" s="153"/>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row>
    <row r="68" spans="3:92" x14ac:dyDescent="0.25">
      <c r="C68"/>
      <c r="D68"/>
      <c r="E68"/>
      <c r="F68"/>
      <c r="G68"/>
      <c r="H68"/>
      <c r="I68"/>
      <c r="J68"/>
      <c r="K68" s="153"/>
      <c r="L68"/>
      <c r="M68"/>
      <c r="N68" s="153"/>
      <c r="O68"/>
      <c r="P68"/>
      <c r="Q68" s="153"/>
      <c r="R68"/>
      <c r="S68"/>
      <c r="T68"/>
      <c r="U68"/>
      <c r="V68" s="153"/>
      <c r="W68" s="153"/>
      <c r="X68"/>
      <c r="Y68"/>
      <c r="Z68"/>
      <c r="AA68"/>
      <c r="AB68"/>
      <c r="AC68" s="153"/>
      <c r="AD68"/>
      <c r="AE68"/>
      <c r="AF68"/>
      <c r="AG68"/>
      <c r="AH68"/>
      <c r="AI68"/>
      <c r="AJ68"/>
      <c r="AK68"/>
      <c r="AL68"/>
      <c r="AM68"/>
      <c r="AN68"/>
      <c r="AO68"/>
      <c r="AP68" s="153"/>
      <c r="AQ68"/>
      <c r="AR68"/>
      <c r="AS68"/>
      <c r="AT68"/>
      <c r="AU68"/>
      <c r="AV68"/>
      <c r="AW68"/>
      <c r="AX68"/>
      <c r="AY68"/>
      <c r="AZ68"/>
      <c r="BA68"/>
      <c r="BB68"/>
      <c r="BC68"/>
      <c r="BD68"/>
      <c r="BE68" s="153"/>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row>
    <row r="69" spans="3:92" x14ac:dyDescent="0.25">
      <c r="C69"/>
      <c r="D69"/>
      <c r="E69"/>
      <c r="F69"/>
      <c r="G69" s="153"/>
      <c r="H69"/>
      <c r="I69"/>
      <c r="J69"/>
      <c r="K69"/>
      <c r="L69"/>
      <c r="M69"/>
      <c r="N69" s="153"/>
      <c r="O69"/>
      <c r="P69"/>
      <c r="Q69" s="153"/>
      <c r="R69"/>
      <c r="S69" s="153"/>
      <c r="T69"/>
      <c r="U69"/>
      <c r="V69" s="153"/>
      <c r="W69"/>
      <c r="X69"/>
      <c r="Y69"/>
      <c r="Z69" s="153"/>
      <c r="AA69" s="153"/>
      <c r="AB69"/>
      <c r="AC69"/>
      <c r="AD69"/>
      <c r="AE69"/>
      <c r="AF69" s="153"/>
      <c r="AG69"/>
      <c r="AH69"/>
      <c r="AI69"/>
      <c r="AJ69"/>
      <c r="AK69" s="153"/>
      <c r="AL69"/>
      <c r="AM69"/>
      <c r="AN69"/>
      <c r="AO69"/>
      <c r="AP69"/>
      <c r="AQ69"/>
      <c r="AR69"/>
      <c r="AS69"/>
      <c r="AT69"/>
      <c r="AU69" s="153"/>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row>
    <row r="70" spans="3:92" x14ac:dyDescent="0.25">
      <c r="C70"/>
      <c r="D70"/>
      <c r="E70"/>
      <c r="F70"/>
      <c r="G70"/>
      <c r="H70"/>
      <c r="I70" s="153"/>
      <c r="J70"/>
      <c r="K70"/>
      <c r="L70" s="153"/>
      <c r="M70"/>
      <c r="N70"/>
      <c r="O70"/>
      <c r="P70"/>
      <c r="Q70" s="153"/>
      <c r="R70"/>
      <c r="S70"/>
      <c r="T70"/>
      <c r="U70"/>
      <c r="V70"/>
      <c r="W70"/>
      <c r="X70" s="153"/>
      <c r="Y70"/>
      <c r="Z70" s="153"/>
      <c r="AA70" s="153"/>
      <c r="AB70"/>
      <c r="AC70"/>
      <c r="AD70"/>
      <c r="AE70"/>
      <c r="AF70" s="153"/>
      <c r="AG70"/>
      <c r="AH70"/>
      <c r="AI70"/>
      <c r="AJ70"/>
      <c r="AK70" s="153"/>
      <c r="AL70"/>
      <c r="AM70"/>
      <c r="AN70"/>
      <c r="AO70"/>
      <c r="AP70" s="153"/>
      <c r="AQ70"/>
      <c r="AR70"/>
      <c r="AS70"/>
      <c r="AT70"/>
      <c r="AU70"/>
      <c r="AV70"/>
      <c r="AW70"/>
      <c r="AX70"/>
      <c r="AY70"/>
      <c r="AZ70" s="153"/>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row>
    <row r="71" spans="3:92" x14ac:dyDescent="0.25">
      <c r="C71"/>
      <c r="D71"/>
      <c r="E71"/>
      <c r="F71"/>
      <c r="G71"/>
      <c r="H71"/>
      <c r="I71"/>
      <c r="J71"/>
      <c r="K71" s="153"/>
      <c r="L71"/>
      <c r="M71"/>
      <c r="N71"/>
      <c r="O71"/>
      <c r="P71"/>
      <c r="Q71" s="153"/>
      <c r="R71"/>
      <c r="S71"/>
      <c r="T71"/>
      <c r="U71"/>
      <c r="V71"/>
      <c r="W71"/>
      <c r="X71"/>
      <c r="Y71"/>
      <c r="Z71"/>
      <c r="AA71"/>
      <c r="AB71"/>
      <c r="AC71" s="153"/>
      <c r="AD71"/>
      <c r="AE71"/>
      <c r="AF71" s="153"/>
      <c r="AG71"/>
      <c r="AH71"/>
      <c r="AI71"/>
      <c r="AJ71"/>
      <c r="AK71" s="153"/>
      <c r="AL71"/>
      <c r="AM71"/>
      <c r="AN71"/>
      <c r="AO71"/>
      <c r="AP71" s="153"/>
      <c r="AQ71"/>
      <c r="AR71"/>
      <c r="AS71"/>
      <c r="AT71"/>
      <c r="AU71"/>
      <c r="AV71"/>
      <c r="AW71"/>
      <c r="AX71"/>
      <c r="AY71"/>
      <c r="AZ71" s="153"/>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row>
    <row r="72" spans="3:92" x14ac:dyDescent="0.25">
      <c r="C72"/>
      <c r="D72" s="153"/>
      <c r="E72"/>
      <c r="F72"/>
      <c r="G72" s="153"/>
      <c r="H72"/>
      <c r="I72"/>
      <c r="J72"/>
      <c r="K72"/>
      <c r="L72"/>
      <c r="M72"/>
      <c r="N72" s="153"/>
      <c r="O72"/>
      <c r="P72"/>
      <c r="Q72"/>
      <c r="R72"/>
      <c r="S72"/>
      <c r="T72" s="153"/>
      <c r="U72"/>
      <c r="V72"/>
      <c r="W72"/>
      <c r="X72"/>
      <c r="Y72"/>
      <c r="Z72"/>
      <c r="AA72"/>
      <c r="AB72"/>
      <c r="AC72" s="153"/>
      <c r="AD72"/>
      <c r="AE72"/>
      <c r="AF72" s="153"/>
      <c r="AG72"/>
      <c r="AH72" s="153"/>
      <c r="AI72"/>
      <c r="AJ72"/>
      <c r="AK72" s="153"/>
      <c r="AL72"/>
      <c r="AM72"/>
      <c r="AN72"/>
      <c r="AO72"/>
      <c r="AP72" s="153"/>
      <c r="AQ72"/>
      <c r="AR72"/>
      <c r="AS72"/>
      <c r="AT72"/>
      <c r="AU72"/>
      <c r="AV72"/>
      <c r="AW72"/>
      <c r="AX72"/>
      <c r="AY72"/>
      <c r="AZ72"/>
      <c r="BA72"/>
      <c r="BB72"/>
      <c r="BC72"/>
      <c r="BD72"/>
      <c r="BE72" s="153"/>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row>
    <row r="73" spans="3:92" x14ac:dyDescent="0.25">
      <c r="C73"/>
      <c r="D73"/>
      <c r="E73"/>
      <c r="F73"/>
      <c r="G73"/>
      <c r="H73"/>
      <c r="I73" s="153"/>
      <c r="J73"/>
      <c r="K73"/>
      <c r="L73" s="153"/>
      <c r="M73"/>
      <c r="N73"/>
      <c r="O73"/>
      <c r="P73"/>
      <c r="Q73" s="153"/>
      <c r="R73"/>
      <c r="S73"/>
      <c r="T73"/>
      <c r="U73"/>
      <c r="V73"/>
      <c r="W73" s="153"/>
      <c r="X73"/>
      <c r="Y73"/>
      <c r="Z73"/>
      <c r="AA73"/>
      <c r="AB73"/>
      <c r="AC73"/>
      <c r="AD73"/>
      <c r="AE73"/>
      <c r="AF73" s="153"/>
      <c r="AG73"/>
      <c r="AH73"/>
      <c r="AI73"/>
      <c r="AJ73"/>
      <c r="AK73" s="153"/>
      <c r="AL73"/>
      <c r="AM73" s="153"/>
      <c r="AN73"/>
      <c r="AO73"/>
      <c r="AP73" s="153"/>
      <c r="AQ73"/>
      <c r="AR73"/>
      <c r="AS73"/>
      <c r="AT73"/>
      <c r="AU73" s="153"/>
      <c r="AV73"/>
      <c r="AW73"/>
      <c r="AX73"/>
      <c r="AY73"/>
      <c r="AZ73"/>
      <c r="BA73"/>
      <c r="BB73"/>
      <c r="BC73"/>
      <c r="BD73"/>
      <c r="BE73" s="15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row>
    <row r="74" spans="3:92" x14ac:dyDescent="0.25">
      <c r="C74"/>
      <c r="D74"/>
      <c r="E74"/>
      <c r="F74"/>
      <c r="G74"/>
      <c r="H74"/>
      <c r="I74"/>
      <c r="J74"/>
      <c r="K74"/>
      <c r="L74"/>
      <c r="M74"/>
      <c r="N74" s="153"/>
      <c r="O74"/>
      <c r="P74"/>
      <c r="Q74" s="153"/>
      <c r="R74"/>
      <c r="S74"/>
      <c r="T74" s="153"/>
      <c r="U74"/>
      <c r="V74"/>
      <c r="W74"/>
      <c r="X74"/>
      <c r="Y74"/>
      <c r="Z74" s="153"/>
      <c r="AA74"/>
      <c r="AB74"/>
      <c r="AC74"/>
      <c r="AD74"/>
      <c r="AE74"/>
      <c r="AF74"/>
      <c r="AG74"/>
      <c r="AH74"/>
      <c r="AI74" s="153"/>
      <c r="AJ74"/>
      <c r="AK74"/>
      <c r="AL74"/>
      <c r="AM74"/>
      <c r="AN74"/>
      <c r="AO74"/>
      <c r="AP74" s="153"/>
      <c r="AQ74"/>
      <c r="AR74" s="153"/>
      <c r="AS74"/>
      <c r="AT74"/>
      <c r="AU74" s="153"/>
      <c r="AV74"/>
      <c r="AW74"/>
      <c r="AX74"/>
      <c r="AY74"/>
      <c r="AZ74" s="153"/>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row>
    <row r="75" spans="3:92" x14ac:dyDescent="0.25">
      <c r="C75"/>
      <c r="D75"/>
      <c r="E75"/>
      <c r="F75"/>
      <c r="G75"/>
      <c r="H75"/>
      <c r="I75"/>
      <c r="J75"/>
      <c r="K75"/>
      <c r="L75"/>
      <c r="M75"/>
      <c r="N75"/>
      <c r="O75"/>
      <c r="P75"/>
      <c r="Q75" s="153"/>
      <c r="R75"/>
      <c r="S75" s="153"/>
      <c r="T75" s="153"/>
      <c r="U75"/>
      <c r="V75" s="153"/>
      <c r="W75"/>
      <c r="X75"/>
      <c r="Y75"/>
      <c r="Z75" s="153"/>
      <c r="AA75"/>
      <c r="AB75"/>
      <c r="AC75"/>
      <c r="AD75"/>
      <c r="AE75"/>
      <c r="AF75"/>
      <c r="AG75"/>
      <c r="AH75"/>
      <c r="AI75" s="153"/>
      <c r="AJ75"/>
      <c r="AK75"/>
      <c r="AL75"/>
      <c r="AM75"/>
      <c r="AN75"/>
      <c r="AO75"/>
      <c r="AP75" s="153"/>
      <c r="AQ75"/>
      <c r="AR75"/>
      <c r="AS75"/>
      <c r="AT75"/>
      <c r="AU75"/>
      <c r="AV75"/>
      <c r="AW75"/>
      <c r="AX75"/>
      <c r="AY75"/>
      <c r="AZ75" s="153"/>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row>
    <row r="76" spans="3:92" x14ac:dyDescent="0.25">
      <c r="C76"/>
      <c r="D76"/>
      <c r="E76"/>
      <c r="F76"/>
      <c r="G76"/>
      <c r="H76" s="153"/>
      <c r="I76"/>
      <c r="J76"/>
      <c r="K76"/>
      <c r="L76"/>
      <c r="M76"/>
      <c r="N76"/>
      <c r="O76"/>
      <c r="P76"/>
      <c r="Q76"/>
      <c r="R76"/>
      <c r="S76"/>
      <c r="T76" s="153"/>
      <c r="U76"/>
      <c r="V76"/>
      <c r="W76"/>
      <c r="X76" s="153"/>
      <c r="Y76"/>
      <c r="Z76"/>
      <c r="AA76" s="153"/>
      <c r="AB76"/>
      <c r="AC76" s="153"/>
      <c r="AD76"/>
      <c r="AE76"/>
      <c r="AF76" s="153"/>
      <c r="AG76"/>
      <c r="AH76"/>
      <c r="AI76"/>
      <c r="AJ76"/>
      <c r="AK76" s="153"/>
      <c r="AL76"/>
      <c r="AM76"/>
      <c r="AN76"/>
      <c r="AO76"/>
      <c r="AP76"/>
      <c r="AQ76"/>
      <c r="AR76" s="153"/>
      <c r="AS76"/>
      <c r="AT76"/>
      <c r="AU76" s="153"/>
      <c r="AV76"/>
      <c r="AW76"/>
      <c r="AX76"/>
      <c r="AY76"/>
      <c r="AZ76" s="153"/>
      <c r="BA76"/>
      <c r="BB76"/>
      <c r="BC76"/>
      <c r="BD76"/>
      <c r="BE76" s="153"/>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row>
    <row r="77" spans="3:92" x14ac:dyDescent="0.25">
      <c r="C77"/>
      <c r="D77"/>
      <c r="E77"/>
      <c r="F77"/>
      <c r="G77"/>
      <c r="H77"/>
      <c r="I77"/>
      <c r="J77"/>
      <c r="K77" s="153"/>
      <c r="L77"/>
      <c r="M77"/>
      <c r="N77" s="153"/>
      <c r="O77"/>
      <c r="P77"/>
      <c r="Q77"/>
      <c r="R77"/>
      <c r="S77"/>
      <c r="T77"/>
      <c r="U77"/>
      <c r="V77"/>
      <c r="W77" s="153"/>
      <c r="X77"/>
      <c r="Y77"/>
      <c r="Z77"/>
      <c r="AA77"/>
      <c r="AB77"/>
      <c r="AC77" s="153"/>
      <c r="AD77"/>
      <c r="AE77"/>
      <c r="AF77" s="153"/>
      <c r="AG77"/>
      <c r="AH77"/>
      <c r="AI77" s="153"/>
      <c r="AJ77"/>
      <c r="AK77"/>
      <c r="AL77"/>
      <c r="AM77"/>
      <c r="AN77"/>
      <c r="AO77"/>
      <c r="AP77"/>
      <c r="AQ77"/>
      <c r="AR77"/>
      <c r="AS77"/>
      <c r="AT77"/>
      <c r="AU77" s="153"/>
      <c r="AV77"/>
      <c r="AW77"/>
      <c r="AX77"/>
      <c r="AY77"/>
      <c r="AZ77" s="153"/>
      <c r="BA77"/>
      <c r="BB77"/>
      <c r="BC77"/>
      <c r="BD77"/>
      <c r="BE77" s="153"/>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row>
    <row r="78" spans="3:92" x14ac:dyDescent="0.25">
      <c r="C78"/>
      <c r="D78"/>
      <c r="E78"/>
      <c r="F78"/>
      <c r="G78"/>
      <c r="H78" s="153"/>
      <c r="I78"/>
      <c r="J78"/>
      <c r="K78"/>
      <c r="L78"/>
      <c r="M78"/>
      <c r="N78" s="153"/>
      <c r="O78"/>
      <c r="P78"/>
      <c r="Q78" s="153"/>
      <c r="R78"/>
      <c r="S78"/>
      <c r="T78"/>
      <c r="U78"/>
      <c r="V78"/>
      <c r="W78"/>
      <c r="X78"/>
      <c r="Y78"/>
      <c r="Z78" s="153"/>
      <c r="AA78"/>
      <c r="AB78"/>
      <c r="AC78"/>
      <c r="AD78"/>
      <c r="AE78"/>
      <c r="AF78" s="153"/>
      <c r="AG78"/>
      <c r="AH78"/>
      <c r="AI78" s="153"/>
      <c r="AJ78"/>
      <c r="AK78"/>
      <c r="AL78"/>
      <c r="AM78" s="153"/>
      <c r="AN78"/>
      <c r="AO78"/>
      <c r="AP78" s="153"/>
      <c r="AQ78"/>
      <c r="AR78"/>
      <c r="AS78"/>
      <c r="AT78"/>
      <c r="AU78"/>
      <c r="AV78"/>
      <c r="AW78"/>
      <c r="AX78"/>
      <c r="AY78"/>
      <c r="AZ78" s="153"/>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row>
    <row r="79" spans="3:92" x14ac:dyDescent="0.25">
      <c r="C79"/>
      <c r="D79"/>
      <c r="E79"/>
      <c r="F79"/>
      <c r="G79"/>
      <c r="H79"/>
      <c r="I79"/>
      <c r="J79"/>
      <c r="K79"/>
      <c r="L79"/>
      <c r="M79"/>
      <c r="N79" s="153"/>
      <c r="O79"/>
      <c r="P79"/>
      <c r="Q79"/>
      <c r="R79"/>
      <c r="S79"/>
      <c r="T79" s="153"/>
      <c r="U79"/>
      <c r="V79" s="153"/>
      <c r="W79"/>
      <c r="X79"/>
      <c r="Y79"/>
      <c r="Z79" s="153"/>
      <c r="AA79"/>
      <c r="AB79"/>
      <c r="AC79" s="153"/>
      <c r="AD79"/>
      <c r="AE79"/>
      <c r="AF79" s="153"/>
      <c r="AG79"/>
      <c r="AH79"/>
      <c r="AI79"/>
      <c r="AJ79"/>
      <c r="AK79" s="153"/>
      <c r="AL79"/>
      <c r="AM79"/>
      <c r="AN79"/>
      <c r="AO79"/>
      <c r="AP79"/>
      <c r="AQ79"/>
      <c r="AR79"/>
      <c r="AS79"/>
      <c r="AT79"/>
      <c r="AU79" s="153"/>
      <c r="AV79"/>
      <c r="AW79"/>
      <c r="AX79"/>
      <c r="AY79"/>
      <c r="AZ79"/>
      <c r="BA79"/>
      <c r="BB79"/>
      <c r="BC79"/>
      <c r="BD79"/>
      <c r="BE79" s="153"/>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row>
    <row r="80" spans="3:92" x14ac:dyDescent="0.25">
      <c r="C80"/>
      <c r="D80"/>
      <c r="E80"/>
      <c r="F80"/>
      <c r="G80"/>
      <c r="H80"/>
      <c r="I80"/>
      <c r="J80"/>
      <c r="K80"/>
      <c r="L80"/>
      <c r="M80"/>
      <c r="N80" s="153"/>
      <c r="O80"/>
      <c r="P80"/>
      <c r="Q80" s="153"/>
      <c r="R80"/>
      <c r="S80"/>
      <c r="T80"/>
      <c r="U80"/>
      <c r="V80"/>
      <c r="W80" s="153"/>
      <c r="X80"/>
      <c r="Y80"/>
      <c r="Z80"/>
      <c r="AA80"/>
      <c r="AB80"/>
      <c r="AC80" s="153"/>
      <c r="AD80"/>
      <c r="AE80"/>
      <c r="AF80"/>
      <c r="AG80"/>
      <c r="AH80" s="153"/>
      <c r="AI80"/>
      <c r="AJ80"/>
      <c r="AK80" s="153"/>
      <c r="AL80"/>
      <c r="AM80"/>
      <c r="AN80"/>
      <c r="AO80"/>
      <c r="AP80" s="153"/>
      <c r="AQ80"/>
      <c r="AR80"/>
      <c r="AS80"/>
      <c r="AT80"/>
      <c r="AU80"/>
      <c r="AV80"/>
      <c r="AW80"/>
      <c r="AX80"/>
      <c r="AY80"/>
      <c r="AZ80"/>
      <c r="BA80"/>
      <c r="BB80"/>
      <c r="BC80"/>
      <c r="BD80"/>
      <c r="BE80" s="153"/>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row>
    <row r="81" spans="3:92" x14ac:dyDescent="0.25">
      <c r="C81"/>
      <c r="D81"/>
      <c r="E81"/>
      <c r="F81"/>
      <c r="G81"/>
      <c r="H81"/>
      <c r="I81"/>
      <c r="J81"/>
      <c r="K81"/>
      <c r="L81"/>
      <c r="M81"/>
      <c r="N81"/>
      <c r="O81"/>
      <c r="P81"/>
      <c r="Q81" s="153"/>
      <c r="R81"/>
      <c r="S81"/>
      <c r="T81" s="153"/>
      <c r="U81"/>
      <c r="V81" s="153"/>
      <c r="W81"/>
      <c r="X81" s="153"/>
      <c r="Y81"/>
      <c r="Z81" s="153"/>
      <c r="AA81" s="153"/>
      <c r="AB81"/>
      <c r="AC81" s="153"/>
      <c r="AD81"/>
      <c r="AE81"/>
      <c r="AF81"/>
      <c r="AG81"/>
      <c r="AH81"/>
      <c r="AI81"/>
      <c r="AJ81"/>
      <c r="AK81"/>
      <c r="AL81"/>
      <c r="AM81"/>
      <c r="AN81"/>
      <c r="AO81"/>
      <c r="AP81" s="153"/>
      <c r="AQ81"/>
      <c r="AR81"/>
      <c r="AS81"/>
      <c r="AT81"/>
      <c r="AU81"/>
      <c r="AV81"/>
      <c r="AW81"/>
      <c r="AX81"/>
      <c r="AY81"/>
      <c r="AZ81" s="153"/>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row>
    <row r="82" spans="3:92" x14ac:dyDescent="0.25">
      <c r="C82"/>
      <c r="D82"/>
      <c r="E82"/>
      <c r="F82"/>
      <c r="G82" s="153"/>
      <c r="H82"/>
      <c r="I82"/>
      <c r="J82"/>
      <c r="K82"/>
      <c r="L82"/>
      <c r="M82"/>
      <c r="N82"/>
      <c r="O82"/>
      <c r="P82"/>
      <c r="Q82"/>
      <c r="R82"/>
      <c r="S82"/>
      <c r="T82" s="153"/>
      <c r="U82"/>
      <c r="V82" s="153"/>
      <c r="W82" s="153"/>
      <c r="X82"/>
      <c r="Y82"/>
      <c r="Z82" s="153"/>
      <c r="AA82"/>
      <c r="AB82"/>
      <c r="AC82" s="153"/>
      <c r="AD82"/>
      <c r="AE82"/>
      <c r="AF82" s="153"/>
      <c r="AG82"/>
      <c r="AH82"/>
      <c r="AI82"/>
      <c r="AJ82"/>
      <c r="AK82" s="153"/>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row>
    <row r="83" spans="3:92" x14ac:dyDescent="0.25">
      <c r="C83"/>
      <c r="D83"/>
      <c r="E83"/>
      <c r="F83"/>
      <c r="G83" s="153"/>
      <c r="H83"/>
      <c r="I83"/>
      <c r="J83"/>
      <c r="K83"/>
      <c r="L83" s="153"/>
      <c r="M83"/>
      <c r="N83"/>
      <c r="O83"/>
      <c r="P83"/>
      <c r="Q83" s="153"/>
      <c r="R83"/>
      <c r="S83" s="153"/>
      <c r="T83" s="153"/>
      <c r="U83"/>
      <c r="V83" s="153"/>
      <c r="W83" s="153"/>
      <c r="X83"/>
      <c r="Y83"/>
      <c r="Z83"/>
      <c r="AA83"/>
      <c r="AB83"/>
      <c r="AC83" s="153"/>
      <c r="AD83"/>
      <c r="AE83"/>
      <c r="AF83"/>
      <c r="AG83"/>
      <c r="AH83"/>
      <c r="AI83" s="15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row>
    <row r="84" spans="3:92" x14ac:dyDescent="0.25">
      <c r="C84"/>
      <c r="D84"/>
      <c r="E84"/>
      <c r="F84"/>
      <c r="G84"/>
      <c r="H84"/>
      <c r="I84"/>
      <c r="J84"/>
      <c r="K84"/>
      <c r="L84" s="153"/>
      <c r="M84"/>
      <c r="N84"/>
      <c r="O84"/>
      <c r="P84"/>
      <c r="Q84" s="153"/>
      <c r="R84"/>
      <c r="S84"/>
      <c r="T84"/>
      <c r="U84"/>
      <c r="V84" s="153"/>
      <c r="W84" s="153"/>
      <c r="X84" s="153"/>
      <c r="Y84"/>
      <c r="Z84" s="153"/>
      <c r="AA84" s="153"/>
      <c r="AB84"/>
      <c r="AC84" s="153"/>
      <c r="AD84"/>
      <c r="AE84"/>
      <c r="AF84"/>
      <c r="AG84"/>
      <c r="AH84"/>
      <c r="AI84" s="153"/>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row>
    <row r="85" spans="3:92" x14ac:dyDescent="0.25">
      <c r="C85"/>
      <c r="D85"/>
      <c r="E85"/>
      <c r="F85"/>
      <c r="G85"/>
      <c r="H85"/>
      <c r="I85"/>
      <c r="J85"/>
      <c r="K85"/>
      <c r="L85"/>
      <c r="M85"/>
      <c r="N85"/>
      <c r="O85"/>
      <c r="P85"/>
      <c r="Q85" s="153"/>
      <c r="R85"/>
      <c r="S85"/>
      <c r="T85"/>
      <c r="U85"/>
      <c r="V85" s="153"/>
      <c r="W85" s="153"/>
      <c r="X85"/>
      <c r="Y85"/>
      <c r="Z85"/>
      <c r="AA85" s="153"/>
      <c r="AB85"/>
      <c r="AC85" s="153"/>
      <c r="AD85"/>
      <c r="AE85"/>
      <c r="AF85" s="153"/>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row>
    <row r="86" spans="3:92" x14ac:dyDescent="0.25">
      <c r="C86"/>
      <c r="D86"/>
      <c r="E86"/>
      <c r="F86"/>
      <c r="G86" s="153"/>
      <c r="H86"/>
      <c r="I86"/>
      <c r="J86"/>
      <c r="K86"/>
      <c r="L86"/>
      <c r="M86"/>
      <c r="N86"/>
      <c r="O86"/>
      <c r="P86"/>
      <c r="Q86" s="153"/>
      <c r="R86"/>
      <c r="S86"/>
      <c r="T86"/>
      <c r="U86"/>
      <c r="V86" s="153"/>
      <c r="W86" s="153"/>
      <c r="X86" s="153"/>
      <c r="Y86"/>
      <c r="Z86"/>
      <c r="AA86" s="153"/>
      <c r="AB86"/>
      <c r="AC86" s="153"/>
      <c r="AD86"/>
      <c r="AE86"/>
      <c r="AF86" s="153"/>
      <c r="AG86"/>
      <c r="AH86"/>
      <c r="AI86" s="153"/>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row>
    <row r="87" spans="3:92" x14ac:dyDescent="0.25">
      <c r="C87"/>
      <c r="D87"/>
      <c r="E87"/>
      <c r="F87"/>
      <c r="G87"/>
      <c r="H87"/>
      <c r="I87"/>
      <c r="J87"/>
      <c r="K87"/>
      <c r="L87" s="153"/>
      <c r="M87"/>
      <c r="N87" s="153"/>
      <c r="O87"/>
      <c r="P87"/>
      <c r="Q87"/>
      <c r="R87"/>
      <c r="S87"/>
      <c r="T87" s="153"/>
      <c r="U87"/>
      <c r="V87" s="153"/>
      <c r="W87"/>
      <c r="X87"/>
      <c r="Y87"/>
      <c r="Z87"/>
      <c r="AA87" s="153"/>
      <c r="AB87"/>
      <c r="AC87" s="153"/>
      <c r="AD87"/>
      <c r="AE87"/>
      <c r="AF87" s="153"/>
      <c r="AG87"/>
      <c r="AH87"/>
      <c r="AI87" s="153"/>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row>
    <row r="88" spans="3:92" x14ac:dyDescent="0.25">
      <c r="C88"/>
      <c r="D88"/>
      <c r="E88"/>
      <c r="F88"/>
      <c r="G88"/>
      <c r="H88" s="153"/>
      <c r="I88"/>
      <c r="J88"/>
      <c r="K88"/>
      <c r="L88"/>
      <c r="M88"/>
      <c r="N88" s="153"/>
      <c r="O88"/>
      <c r="P88"/>
      <c r="Q88" s="153"/>
      <c r="R88"/>
      <c r="S88"/>
      <c r="T88"/>
      <c r="U88"/>
      <c r="V88" s="153"/>
      <c r="W88" s="153"/>
      <c r="X88"/>
      <c r="Y88"/>
      <c r="Z88"/>
      <c r="AA88" s="153"/>
      <c r="AB88"/>
      <c r="AC88"/>
      <c r="AD88"/>
      <c r="AE88"/>
      <c r="AF88" s="153"/>
      <c r="AG88"/>
      <c r="AH88"/>
      <c r="AI88"/>
      <c r="AJ88"/>
      <c r="AK88" s="153"/>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row>
    <row r="89" spans="3:92" x14ac:dyDescent="0.25">
      <c r="C89"/>
      <c r="D89"/>
      <c r="E89"/>
      <c r="F89"/>
      <c r="G89"/>
      <c r="H89"/>
      <c r="I89"/>
      <c r="J89"/>
      <c r="K89" s="153"/>
      <c r="L89"/>
      <c r="M89"/>
      <c r="N89"/>
      <c r="O89"/>
      <c r="P89"/>
      <c r="Q89"/>
      <c r="R89"/>
      <c r="S89" s="153"/>
      <c r="T89"/>
      <c r="U89"/>
      <c r="V89" s="153"/>
      <c r="W89" s="153"/>
      <c r="X89"/>
      <c r="Y89"/>
      <c r="Z89" s="153"/>
      <c r="AA89" s="153"/>
      <c r="AB89"/>
      <c r="AC89"/>
      <c r="AD89"/>
      <c r="AE89"/>
      <c r="AF89" s="153"/>
      <c r="AG89"/>
      <c r="AH89"/>
      <c r="AI89" s="153"/>
      <c r="AJ89"/>
      <c r="AK89" s="153"/>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row>
    <row r="90" spans="3:92" x14ac:dyDescent="0.25">
      <c r="C90"/>
      <c r="D90"/>
      <c r="E90"/>
      <c r="F90"/>
      <c r="G90"/>
      <c r="H90"/>
      <c r="I90" s="153"/>
      <c r="J90"/>
      <c r="K90"/>
      <c r="L90" s="153"/>
      <c r="M90"/>
      <c r="N90" s="153"/>
      <c r="O90"/>
      <c r="P90"/>
      <c r="Q90"/>
      <c r="R90"/>
      <c r="S90"/>
      <c r="T90"/>
      <c r="U90"/>
      <c r="V90"/>
      <c r="W90"/>
      <c r="X90"/>
      <c r="Y90"/>
      <c r="Z90" s="153"/>
      <c r="AA90" s="153"/>
      <c r="AB90"/>
      <c r="AC90" s="153"/>
      <c r="AD90"/>
      <c r="AE90"/>
      <c r="AF90"/>
      <c r="AG90"/>
      <c r="AH90"/>
      <c r="AI90" s="153"/>
      <c r="AJ90"/>
      <c r="AK90" s="153"/>
      <c r="AL90"/>
      <c r="AM90"/>
      <c r="AN90"/>
      <c r="AO90"/>
      <c r="AP90" s="153"/>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row>
    <row r="91" spans="3:92" x14ac:dyDescent="0.25">
      <c r="C91"/>
      <c r="D91"/>
      <c r="E91"/>
      <c r="F91"/>
      <c r="G91"/>
      <c r="H91"/>
      <c r="I91"/>
      <c r="J91"/>
      <c r="K91"/>
      <c r="L91"/>
      <c r="M91"/>
      <c r="N91" s="153"/>
      <c r="O91"/>
      <c r="P91"/>
      <c r="Q91" s="153"/>
      <c r="R91"/>
      <c r="S91"/>
      <c r="T91" s="153"/>
      <c r="U91"/>
      <c r="V91" s="153"/>
      <c r="W91"/>
      <c r="X91"/>
      <c r="Y91"/>
      <c r="Z91" s="153"/>
      <c r="AA91" s="153"/>
      <c r="AB91"/>
      <c r="AC91"/>
      <c r="AD91"/>
      <c r="AE91"/>
      <c r="AF91" s="153"/>
      <c r="AG91"/>
      <c r="AH91"/>
      <c r="AI91"/>
      <c r="AJ91"/>
      <c r="AK91" s="153"/>
      <c r="AL91"/>
      <c r="AM91"/>
      <c r="AN91"/>
      <c r="AO91"/>
      <c r="AP91" s="153"/>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row>
    <row r="92" spans="3:92" x14ac:dyDescent="0.25">
      <c r="C92"/>
      <c r="D92"/>
      <c r="E92"/>
      <c r="F92"/>
      <c r="G92"/>
      <c r="H92"/>
      <c r="I92"/>
      <c r="J92"/>
      <c r="K92"/>
      <c r="L92"/>
      <c r="M92"/>
      <c r="N92" s="153"/>
      <c r="O92"/>
      <c r="P92"/>
      <c r="Q92"/>
      <c r="R92"/>
      <c r="S92" s="153"/>
      <c r="T92" s="153"/>
      <c r="U92"/>
      <c r="V92" s="153"/>
      <c r="W92"/>
      <c r="X92"/>
      <c r="Y92"/>
      <c r="Z92"/>
      <c r="AA92" s="153"/>
      <c r="AB92"/>
      <c r="AC92" s="153"/>
      <c r="AD92"/>
      <c r="AE92"/>
      <c r="AF92" s="153"/>
      <c r="AG92"/>
      <c r="AH92"/>
      <c r="AI92"/>
      <c r="AJ92"/>
      <c r="AK92"/>
      <c r="AL92"/>
      <c r="AM92"/>
      <c r="AN92"/>
      <c r="AO92"/>
      <c r="AP92" s="153"/>
      <c r="AQ92"/>
      <c r="AR92"/>
      <c r="AS92"/>
      <c r="AT92"/>
      <c r="AU92" s="153"/>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row>
    <row r="93" spans="3:92" x14ac:dyDescent="0.25">
      <c r="C93"/>
      <c r="D93"/>
      <c r="E93"/>
      <c r="F93"/>
      <c r="G93"/>
      <c r="H93"/>
      <c r="I93" s="153"/>
      <c r="J93"/>
      <c r="K93"/>
      <c r="L93" s="153"/>
      <c r="M93"/>
      <c r="N93"/>
      <c r="O93"/>
      <c r="P93"/>
      <c r="Q93" s="153"/>
      <c r="R93"/>
      <c r="S93"/>
      <c r="T93" s="153"/>
      <c r="U93"/>
      <c r="V93"/>
      <c r="W93"/>
      <c r="X93"/>
      <c r="Y93"/>
      <c r="Z93"/>
      <c r="AA93" s="153"/>
      <c r="AB93"/>
      <c r="AC93" s="153"/>
      <c r="AD93"/>
      <c r="AE93"/>
      <c r="AF93" s="153"/>
      <c r="AG93"/>
      <c r="AH93"/>
      <c r="AI93"/>
      <c r="AJ93"/>
      <c r="AK93" s="153"/>
      <c r="AL93"/>
      <c r="AM93"/>
      <c r="AN93"/>
      <c r="AO93"/>
      <c r="AP93"/>
      <c r="AQ93"/>
      <c r="AR93"/>
      <c r="AS93"/>
      <c r="AT93"/>
      <c r="AU93" s="153"/>
      <c r="AV93"/>
      <c r="AW93"/>
      <c r="AX93"/>
      <c r="AY93"/>
      <c r="AZ93" s="15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row>
    <row r="94" spans="3:92" x14ac:dyDescent="0.25">
      <c r="C94"/>
      <c r="D94"/>
      <c r="E94"/>
      <c r="F94"/>
      <c r="G94"/>
      <c r="H94"/>
      <c r="I94"/>
      <c r="J94"/>
      <c r="K94"/>
      <c r="L94"/>
      <c r="M94"/>
      <c r="N94" s="153"/>
      <c r="O94"/>
      <c r="P94"/>
      <c r="Q94" s="153"/>
      <c r="R94"/>
      <c r="S94" s="153"/>
      <c r="T94" s="153"/>
      <c r="U94"/>
      <c r="V94" s="153"/>
      <c r="W94" s="153"/>
      <c r="X94"/>
      <c r="Y94"/>
      <c r="Z94"/>
      <c r="AA94" s="153"/>
      <c r="AB94"/>
      <c r="AC94"/>
      <c r="AD94"/>
      <c r="AE94"/>
      <c r="AF94" s="153"/>
      <c r="AG94"/>
      <c r="AH94"/>
      <c r="AI94"/>
      <c r="AJ94"/>
      <c r="AK94"/>
      <c r="AL94"/>
      <c r="AM94"/>
      <c r="AN94"/>
      <c r="AO94"/>
      <c r="AP94" s="153"/>
      <c r="AQ94"/>
      <c r="AR94"/>
      <c r="AS94"/>
      <c r="AT94"/>
      <c r="AU94"/>
      <c r="AV94"/>
      <c r="AW94"/>
      <c r="AX94"/>
      <c r="AY94"/>
      <c r="AZ94" s="153"/>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row>
    <row r="95" spans="3:92" x14ac:dyDescent="0.25">
      <c r="C95"/>
      <c r="D95"/>
      <c r="E95"/>
      <c r="F95"/>
      <c r="G95"/>
      <c r="H95"/>
      <c r="I95"/>
      <c r="J95"/>
      <c r="K95"/>
      <c r="L95"/>
      <c r="M95"/>
      <c r="N95"/>
      <c r="O95"/>
      <c r="P95"/>
      <c r="Q95"/>
      <c r="R95"/>
      <c r="S95" s="153"/>
      <c r="T95"/>
      <c r="U95"/>
      <c r="V95" s="153"/>
      <c r="W95" s="153"/>
      <c r="X95"/>
      <c r="Y95"/>
      <c r="Z95"/>
      <c r="AA95" s="153"/>
      <c r="AB95"/>
      <c r="AC95"/>
      <c r="AD95"/>
      <c r="AE95"/>
      <c r="AF95"/>
      <c r="AG95"/>
      <c r="AH95"/>
      <c r="AI95" s="153"/>
      <c r="AJ95"/>
      <c r="AK95"/>
      <c r="AL95"/>
      <c r="AM95"/>
      <c r="AN95"/>
      <c r="AO95"/>
      <c r="AP95"/>
      <c r="AQ95"/>
      <c r="AR95"/>
      <c r="AS95"/>
      <c r="AT95"/>
      <c r="AU95"/>
      <c r="AV95"/>
      <c r="AW95"/>
      <c r="AX95"/>
      <c r="AY95"/>
      <c r="AZ95" s="153"/>
      <c r="BA95"/>
      <c r="BB95"/>
      <c r="BC95"/>
      <c r="BD95"/>
      <c r="BE95" s="153"/>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row>
    <row r="96" spans="3:92" x14ac:dyDescent="0.25">
      <c r="C96"/>
      <c r="D96"/>
      <c r="E96"/>
      <c r="F96"/>
      <c r="G96"/>
      <c r="H96"/>
      <c r="I96"/>
      <c r="J96"/>
      <c r="K96"/>
      <c r="L96"/>
      <c r="M96"/>
      <c r="N96" s="153"/>
      <c r="O96"/>
      <c r="P96"/>
      <c r="Q96" s="153"/>
      <c r="R96"/>
      <c r="S96"/>
      <c r="T96"/>
      <c r="U96"/>
      <c r="V96"/>
      <c r="W96" s="153"/>
      <c r="X96" s="153"/>
      <c r="Y96"/>
      <c r="Z96" s="153"/>
      <c r="AA96" s="153"/>
      <c r="AB96"/>
      <c r="AC96"/>
      <c r="AD96"/>
      <c r="AE96"/>
      <c r="AF96" s="153"/>
      <c r="AG96"/>
      <c r="AH96"/>
      <c r="AI96" s="153"/>
      <c r="AJ96"/>
      <c r="AK96"/>
      <c r="AL96"/>
      <c r="AM96"/>
      <c r="AN96"/>
      <c r="AO96"/>
      <c r="AP96" s="153"/>
      <c r="AQ96"/>
      <c r="AR96"/>
      <c r="AS96"/>
      <c r="AT96"/>
      <c r="AU96"/>
      <c r="AV96"/>
      <c r="AW96"/>
      <c r="AX96"/>
      <c r="AY96"/>
      <c r="AZ96"/>
      <c r="BA96"/>
      <c r="BB96"/>
      <c r="BC96"/>
      <c r="BD96"/>
      <c r="BE96" s="153"/>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row>
    <row r="97" spans="3:92" x14ac:dyDescent="0.25">
      <c r="C97"/>
      <c r="D97"/>
      <c r="E97"/>
      <c r="F97"/>
      <c r="G97"/>
      <c r="H97"/>
      <c r="I97"/>
      <c r="J97"/>
      <c r="K97"/>
      <c r="L97"/>
      <c r="M97"/>
      <c r="N97"/>
      <c r="O97"/>
      <c r="P97"/>
      <c r="Q97"/>
      <c r="R97"/>
      <c r="S97" s="153"/>
      <c r="T97"/>
      <c r="U97"/>
      <c r="V97" s="153"/>
      <c r="W97"/>
      <c r="X97"/>
      <c r="Y97"/>
      <c r="Z97" s="153"/>
      <c r="AA97"/>
      <c r="AB97"/>
      <c r="AC97" s="153"/>
      <c r="AD97"/>
      <c r="AE97"/>
      <c r="AF97"/>
      <c r="AG97"/>
      <c r="AH97"/>
      <c r="AI97"/>
      <c r="AJ97"/>
      <c r="AK97"/>
      <c r="AL97"/>
      <c r="AM97"/>
      <c r="AN97"/>
      <c r="AO97"/>
      <c r="AP97"/>
      <c r="AQ97"/>
      <c r="AR97"/>
      <c r="AS97"/>
      <c r="AT97"/>
      <c r="AU97" s="153"/>
      <c r="AV97"/>
      <c r="AW97"/>
      <c r="AX97"/>
      <c r="AY97"/>
      <c r="AZ97"/>
      <c r="BA97"/>
      <c r="BB97"/>
      <c r="BC97"/>
      <c r="BD97"/>
      <c r="BE97" s="153"/>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row>
    <row r="98" spans="3:92" x14ac:dyDescent="0.25">
      <c r="C98"/>
      <c r="D98"/>
      <c r="E98"/>
      <c r="F98"/>
      <c r="G98"/>
      <c r="H98"/>
      <c r="I98"/>
      <c r="J98"/>
      <c r="K98"/>
      <c r="L98"/>
      <c r="M98"/>
      <c r="N98"/>
      <c r="O98"/>
      <c r="P98"/>
      <c r="Q98"/>
      <c r="R98"/>
      <c r="S98"/>
      <c r="T98" s="153"/>
      <c r="U98"/>
      <c r="V98"/>
      <c r="W98" s="153"/>
      <c r="X98" s="153"/>
      <c r="Y98"/>
      <c r="Z98" s="153"/>
      <c r="AA98" s="153"/>
      <c r="AB98"/>
      <c r="AC98"/>
      <c r="AD98"/>
      <c r="AE98"/>
      <c r="AF98" s="153"/>
      <c r="AG98"/>
      <c r="AH98"/>
      <c r="AI98"/>
      <c r="AJ98"/>
      <c r="AK98"/>
      <c r="AL98"/>
      <c r="AM98"/>
      <c r="AN98"/>
      <c r="AO98"/>
      <c r="AP98"/>
      <c r="AQ98"/>
      <c r="AR98"/>
      <c r="AS98"/>
      <c r="AT98"/>
      <c r="AU98" s="153"/>
      <c r="AV98"/>
      <c r="AW98"/>
      <c r="AX98"/>
      <c r="AY98"/>
      <c r="AZ98" s="153"/>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row>
    <row r="99" spans="3:92" x14ac:dyDescent="0.25">
      <c r="C99"/>
      <c r="D99"/>
      <c r="E99"/>
      <c r="F99"/>
      <c r="G99"/>
      <c r="H99"/>
      <c r="I99"/>
      <c r="J99"/>
      <c r="K99"/>
      <c r="L99"/>
      <c r="M99"/>
      <c r="N99"/>
      <c r="O99"/>
      <c r="P99"/>
      <c r="Q99"/>
      <c r="R99"/>
      <c r="S99"/>
      <c r="T99"/>
      <c r="U99"/>
      <c r="V99" s="153"/>
      <c r="W99" s="153"/>
      <c r="X99"/>
      <c r="Y99"/>
      <c r="Z99" s="153"/>
      <c r="AA99"/>
      <c r="AB99"/>
      <c r="AC99" s="153"/>
      <c r="AD99"/>
      <c r="AE99"/>
      <c r="AF99" s="153"/>
      <c r="AG99"/>
      <c r="AH99"/>
      <c r="AI99"/>
      <c r="AJ99"/>
      <c r="AK99" s="153"/>
      <c r="AL99"/>
      <c r="AM99"/>
      <c r="AN99"/>
      <c r="AO99"/>
      <c r="AP99" s="153"/>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row>
    <row r="100" spans="3:92" x14ac:dyDescent="0.25">
      <c r="C100"/>
      <c r="D100"/>
      <c r="E100"/>
      <c r="F100"/>
      <c r="G100"/>
      <c r="H100"/>
      <c r="I100"/>
      <c r="J100"/>
      <c r="K100"/>
      <c r="L100"/>
      <c r="M100"/>
      <c r="N100"/>
      <c r="O100"/>
      <c r="P100"/>
      <c r="Q100"/>
      <c r="R100"/>
      <c r="S100" s="153"/>
      <c r="T100"/>
      <c r="U100"/>
      <c r="V100" s="153"/>
      <c r="W100" s="153"/>
      <c r="X100" s="153"/>
      <c r="Y100"/>
      <c r="Z100" s="153"/>
      <c r="AA100" s="153"/>
      <c r="AB100"/>
      <c r="AC100"/>
      <c r="AD100"/>
      <c r="AE100"/>
      <c r="AF100" s="153"/>
      <c r="AG100"/>
      <c r="AH100"/>
      <c r="AI100" s="153"/>
      <c r="AJ100"/>
      <c r="AK100"/>
      <c r="AL100"/>
      <c r="AM100"/>
      <c r="AN100"/>
      <c r="AO100"/>
      <c r="AP100" s="153"/>
      <c r="AQ100"/>
      <c r="AR100"/>
      <c r="AS100"/>
      <c r="AT100"/>
      <c r="AU100" s="153"/>
      <c r="AV100"/>
      <c r="AW100"/>
      <c r="AX100"/>
      <c r="AY100"/>
      <c r="AZ100" s="153"/>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row>
    <row r="101" spans="3:92" x14ac:dyDescent="0.25">
      <c r="C101"/>
      <c r="D101"/>
      <c r="E101"/>
      <c r="F101"/>
      <c r="G101"/>
      <c r="H101"/>
      <c r="I101"/>
      <c r="J101"/>
      <c r="K101"/>
      <c r="L101"/>
      <c r="M101"/>
      <c r="N101"/>
      <c r="O101"/>
      <c r="P101"/>
      <c r="Q101"/>
      <c r="R101"/>
      <c r="S101"/>
      <c r="T101"/>
      <c r="U101"/>
      <c r="V101"/>
      <c r="W101"/>
      <c r="X101"/>
      <c r="Y101"/>
      <c r="Z101" s="153"/>
      <c r="AA101" s="153"/>
      <c r="AB101"/>
      <c r="AC101" s="153"/>
      <c r="AD101"/>
      <c r="AE101"/>
      <c r="AF101" s="153"/>
      <c r="AG101"/>
      <c r="AH101"/>
      <c r="AI101" s="153"/>
      <c r="AJ101"/>
      <c r="AK101"/>
      <c r="AL101"/>
      <c r="AM101"/>
      <c r="AN101"/>
      <c r="AO101"/>
      <c r="AP101"/>
      <c r="AQ101"/>
      <c r="AR101"/>
      <c r="AS101"/>
      <c r="AT101"/>
      <c r="AU101"/>
      <c r="AV101"/>
      <c r="AW101"/>
      <c r="AX101"/>
      <c r="AY101"/>
      <c r="AZ101" s="153"/>
      <c r="BA101"/>
      <c r="BB101"/>
      <c r="BC101"/>
      <c r="BD101"/>
      <c r="BE101" s="153"/>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row>
    <row r="102" spans="3:92" x14ac:dyDescent="0.25">
      <c r="C102"/>
      <c r="D102"/>
      <c r="E102"/>
      <c r="F102"/>
      <c r="G102"/>
      <c r="H102"/>
      <c r="I102"/>
      <c r="J102"/>
      <c r="K102"/>
      <c r="L102"/>
      <c r="M102"/>
      <c r="N102" s="153"/>
      <c r="O102"/>
      <c r="P102"/>
      <c r="Q102" s="153"/>
      <c r="R102"/>
      <c r="S102" s="153"/>
      <c r="T102"/>
      <c r="U102"/>
      <c r="V102" s="153"/>
      <c r="W102"/>
      <c r="X102"/>
      <c r="Y102"/>
      <c r="Z102"/>
      <c r="AA102"/>
      <c r="AB102"/>
      <c r="AC102" s="153"/>
      <c r="AD102"/>
      <c r="AE102"/>
      <c r="AF102" s="153"/>
      <c r="AG102"/>
      <c r="AH102"/>
      <c r="AI102"/>
      <c r="AJ102"/>
      <c r="AK102"/>
      <c r="AL102"/>
      <c r="AM102"/>
      <c r="AN102"/>
      <c r="AO102"/>
      <c r="AP102" s="153"/>
      <c r="AQ102"/>
      <c r="AR102"/>
      <c r="AS102"/>
      <c r="AT102"/>
      <c r="AU102"/>
      <c r="AV102"/>
      <c r="AW102"/>
      <c r="AX102"/>
      <c r="AY102"/>
      <c r="AZ102"/>
      <c r="BA102"/>
      <c r="BB102"/>
      <c r="BC102"/>
      <c r="BD102"/>
      <c r="BE102" s="153"/>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row>
    <row r="103" spans="3:92" x14ac:dyDescent="0.25">
      <c r="C103"/>
      <c r="D103"/>
      <c r="E103"/>
      <c r="F103"/>
      <c r="G103"/>
      <c r="H103"/>
      <c r="I103"/>
      <c r="J103"/>
      <c r="K103"/>
      <c r="L103"/>
      <c r="M103"/>
      <c r="N103"/>
      <c r="O103"/>
      <c r="P103"/>
      <c r="Q103"/>
      <c r="R103"/>
      <c r="S103"/>
      <c r="T103"/>
      <c r="U103"/>
      <c r="V103"/>
      <c r="W103"/>
      <c r="X103"/>
      <c r="Y103"/>
      <c r="Z103" s="153"/>
      <c r="AA103"/>
      <c r="AB103"/>
      <c r="AC103"/>
      <c r="AD103"/>
      <c r="AE103"/>
      <c r="AF103" s="153"/>
      <c r="AG103"/>
      <c r="AH103"/>
      <c r="AI103"/>
      <c r="AJ103"/>
      <c r="AK103"/>
      <c r="AL103"/>
      <c r="AM103"/>
      <c r="AN103"/>
      <c r="AO103"/>
      <c r="AP103"/>
      <c r="AQ103"/>
      <c r="AR103"/>
      <c r="AS103"/>
      <c r="AT103"/>
      <c r="AU103" s="153"/>
      <c r="AV103"/>
      <c r="AW103"/>
      <c r="AX103"/>
      <c r="AY103"/>
      <c r="AZ103"/>
      <c r="BA103"/>
      <c r="BB103"/>
      <c r="BC103"/>
      <c r="BD103"/>
      <c r="BE103" s="15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row>
    <row r="104" spans="3:92" x14ac:dyDescent="0.25">
      <c r="C104"/>
      <c r="D104"/>
      <c r="E104"/>
      <c r="F104"/>
      <c r="G104"/>
      <c r="H104"/>
      <c r="I104"/>
      <c r="J104"/>
      <c r="K104"/>
      <c r="L104"/>
      <c r="M104"/>
      <c r="N104"/>
      <c r="O104"/>
      <c r="P104"/>
      <c r="Q104"/>
      <c r="R104"/>
      <c r="S104"/>
      <c r="T104"/>
      <c r="U104"/>
      <c r="V104"/>
      <c r="W104"/>
      <c r="X104"/>
      <c r="Y104"/>
      <c r="Z104"/>
      <c r="AA104"/>
      <c r="AB104"/>
      <c r="AC104" s="153"/>
      <c r="AD104"/>
      <c r="AE104"/>
      <c r="AF104" s="153"/>
      <c r="AG104"/>
      <c r="AH104"/>
      <c r="AI104" s="153"/>
      <c r="AJ104"/>
      <c r="AK104" s="153"/>
      <c r="AL104"/>
      <c r="AM104"/>
      <c r="AN104"/>
      <c r="AO104"/>
      <c r="AP104"/>
      <c r="AQ104"/>
      <c r="AR104"/>
      <c r="AS104"/>
      <c r="AT104"/>
      <c r="AU104"/>
      <c r="AV104"/>
      <c r="AW104"/>
      <c r="AX104"/>
      <c r="AY104"/>
      <c r="AZ104" s="153"/>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row>
    <row r="105" spans="3:92" x14ac:dyDescent="0.25">
      <c r="C105"/>
      <c r="D105"/>
      <c r="E105"/>
      <c r="F105"/>
      <c r="G105"/>
      <c r="H105"/>
      <c r="I105"/>
      <c r="J105"/>
      <c r="K105"/>
      <c r="L105"/>
      <c r="M105"/>
      <c r="N105"/>
      <c r="O105"/>
      <c r="P105"/>
      <c r="Q105" s="153"/>
      <c r="R105"/>
      <c r="S105"/>
      <c r="T105"/>
      <c r="U105"/>
      <c r="V105"/>
      <c r="W105"/>
      <c r="X105"/>
      <c r="Y105"/>
      <c r="Z105"/>
      <c r="AA105"/>
      <c r="AB105"/>
      <c r="AC105"/>
      <c r="AD105"/>
      <c r="AE105"/>
      <c r="AF105" s="153"/>
      <c r="AG105"/>
      <c r="AH105"/>
      <c r="AI105" s="153"/>
      <c r="AJ105"/>
      <c r="AK105" s="153"/>
      <c r="AL105"/>
      <c r="AM105"/>
      <c r="AN105"/>
      <c r="AO105"/>
      <c r="AP105" s="153"/>
      <c r="AQ105"/>
      <c r="AR105"/>
      <c r="AS105"/>
      <c r="AT105"/>
      <c r="AU105" s="153"/>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row>
    <row r="106" spans="3:92" x14ac:dyDescent="0.25">
      <c r="C106"/>
      <c r="D106"/>
      <c r="E106"/>
      <c r="F106"/>
      <c r="G106"/>
      <c r="H106"/>
      <c r="I106"/>
      <c r="J106"/>
      <c r="K106" s="153"/>
      <c r="L106"/>
      <c r="M106"/>
      <c r="N106"/>
      <c r="O106"/>
      <c r="P106"/>
      <c r="Q106"/>
      <c r="R106"/>
      <c r="S106"/>
      <c r="T106"/>
      <c r="U106"/>
      <c r="V106"/>
      <c r="W106"/>
      <c r="X106"/>
      <c r="Y106"/>
      <c r="Z106"/>
      <c r="AA106" s="153"/>
      <c r="AB106"/>
      <c r="AC106" s="153"/>
      <c r="AD106"/>
      <c r="AE106"/>
      <c r="AF106" s="153"/>
      <c r="AG106"/>
      <c r="AH106"/>
      <c r="AI106" s="153"/>
      <c r="AJ106"/>
      <c r="AK106"/>
      <c r="AL106"/>
      <c r="AM106"/>
      <c r="AN106"/>
      <c r="AO106"/>
      <c r="AP106" s="153"/>
      <c r="AQ106"/>
      <c r="AR106"/>
      <c r="AS106"/>
      <c r="AT106"/>
      <c r="AU106"/>
      <c r="AV106"/>
      <c r="AW106"/>
      <c r="AX106"/>
      <c r="AY106"/>
      <c r="AZ106" s="153"/>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row>
    <row r="107" spans="3:92" x14ac:dyDescent="0.25">
      <c r="C107"/>
      <c r="D107"/>
      <c r="E107"/>
      <c r="F107"/>
      <c r="G107"/>
      <c r="H107"/>
      <c r="I107"/>
      <c r="J107"/>
      <c r="K107"/>
      <c r="L107"/>
      <c r="M107"/>
      <c r="N107" s="153"/>
      <c r="O107"/>
      <c r="P107"/>
      <c r="Q107"/>
      <c r="R107"/>
      <c r="S107"/>
      <c r="T107"/>
      <c r="U107"/>
      <c r="V107" s="153"/>
      <c r="W107"/>
      <c r="X107"/>
      <c r="Y107"/>
      <c r="Z107"/>
      <c r="AA107"/>
      <c r="AB107"/>
      <c r="AC107"/>
      <c r="AD107"/>
      <c r="AE107"/>
      <c r="AF107" s="153"/>
      <c r="AG107"/>
      <c r="AH107"/>
      <c r="AI107" s="153"/>
      <c r="AJ107"/>
      <c r="AK107"/>
      <c r="AL107"/>
      <c r="AM107"/>
      <c r="AN107"/>
      <c r="AO107"/>
      <c r="AP107" s="153"/>
      <c r="AQ107"/>
      <c r="AR107"/>
      <c r="AS107"/>
      <c r="AT107"/>
      <c r="AU107"/>
      <c r="AV107"/>
      <c r="AW107"/>
      <c r="AX107"/>
      <c r="AY107"/>
      <c r="AZ107"/>
      <c r="BA107"/>
      <c r="BB107"/>
      <c r="BC107"/>
      <c r="BD107"/>
      <c r="BE107" s="153"/>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row>
    <row r="108" spans="3:92" x14ac:dyDescent="0.25">
      <c r="C108"/>
      <c r="D108"/>
      <c r="E108"/>
      <c r="F108"/>
      <c r="G108"/>
      <c r="H108"/>
      <c r="I108"/>
      <c r="J108"/>
      <c r="K108"/>
      <c r="L108"/>
      <c r="M108"/>
      <c r="N108"/>
      <c r="O108"/>
      <c r="P108"/>
      <c r="Q108" s="153"/>
      <c r="R108"/>
      <c r="S108"/>
      <c r="T108"/>
      <c r="U108"/>
      <c r="V108"/>
      <c r="W108"/>
      <c r="X108"/>
      <c r="Y108"/>
      <c r="Z108"/>
      <c r="AA108" s="153"/>
      <c r="AB108"/>
      <c r="AC108"/>
      <c r="AD108"/>
      <c r="AE108"/>
      <c r="AF108" s="153"/>
      <c r="AG108"/>
      <c r="AH108"/>
      <c r="AI108" s="153"/>
      <c r="AJ108"/>
      <c r="AK108"/>
      <c r="AL108"/>
      <c r="AM108"/>
      <c r="AN108"/>
      <c r="AO108"/>
      <c r="AP108"/>
      <c r="AQ108"/>
      <c r="AR108"/>
      <c r="AS108"/>
      <c r="AT108"/>
      <c r="AU108" s="153"/>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row>
    <row r="109" spans="3:92" x14ac:dyDescent="0.25">
      <c r="C109"/>
      <c r="D109"/>
      <c r="E109"/>
      <c r="F109"/>
      <c r="G109"/>
      <c r="H109"/>
      <c r="I109"/>
      <c r="J109"/>
      <c r="K109"/>
      <c r="L109"/>
      <c r="M109"/>
      <c r="N109"/>
      <c r="O109"/>
      <c r="P109"/>
      <c r="Q109"/>
      <c r="R109"/>
      <c r="S109"/>
      <c r="T109" s="153"/>
      <c r="U109"/>
      <c r="V109"/>
      <c r="W109"/>
      <c r="X109"/>
      <c r="Y109"/>
      <c r="Z109"/>
      <c r="AA109" s="153"/>
      <c r="AB109"/>
      <c r="AC109" s="153"/>
      <c r="AD109"/>
      <c r="AE109"/>
      <c r="AF109"/>
      <c r="AG109"/>
      <c r="AH109"/>
      <c r="AI109" s="153"/>
      <c r="AJ109"/>
      <c r="AK109"/>
      <c r="AL109"/>
      <c r="AM109"/>
      <c r="AN109"/>
      <c r="AO109"/>
      <c r="AP109"/>
      <c r="AQ109"/>
      <c r="AR109"/>
      <c r="AS109"/>
      <c r="AT109"/>
      <c r="AU109"/>
      <c r="AV109"/>
      <c r="AW109"/>
      <c r="AX109"/>
      <c r="AY109"/>
      <c r="AZ109" s="153"/>
      <c r="BA109"/>
      <c r="BB109"/>
      <c r="BC109"/>
      <c r="BD109"/>
      <c r="BE109" s="153"/>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row>
    <row r="110" spans="3:92" x14ac:dyDescent="0.25">
      <c r="C110"/>
      <c r="D110"/>
      <c r="E110"/>
      <c r="F110"/>
      <c r="G110"/>
      <c r="H110"/>
      <c r="I110"/>
      <c r="J110"/>
      <c r="K110"/>
      <c r="L110"/>
      <c r="M110"/>
      <c r="N110"/>
      <c r="O110"/>
      <c r="P110"/>
      <c r="Q110" s="153"/>
      <c r="R110"/>
      <c r="S110"/>
      <c r="T110"/>
      <c r="U110"/>
      <c r="V110"/>
      <c r="W110" s="153"/>
      <c r="X110"/>
      <c r="Y110"/>
      <c r="Z110" s="153"/>
      <c r="AA110"/>
      <c r="AB110"/>
      <c r="AC110"/>
      <c r="AD110"/>
      <c r="AE110"/>
      <c r="AF110" s="153"/>
      <c r="AG110"/>
      <c r="AH110"/>
      <c r="AI110"/>
      <c r="AJ110"/>
      <c r="AK110"/>
      <c r="AL110"/>
      <c r="AM110"/>
      <c r="AN110"/>
      <c r="AO110"/>
      <c r="AP110"/>
      <c r="AQ110"/>
      <c r="AR110"/>
      <c r="AS110"/>
      <c r="AT110"/>
      <c r="AU110" s="153"/>
      <c r="AV110"/>
      <c r="AW110"/>
      <c r="AX110"/>
      <c r="AY110"/>
      <c r="AZ110" s="153"/>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row>
    <row r="111" spans="3:92" x14ac:dyDescent="0.25">
      <c r="C111"/>
      <c r="D111"/>
      <c r="E111"/>
      <c r="F111"/>
      <c r="G111"/>
      <c r="H111"/>
      <c r="I111"/>
      <c r="J111"/>
      <c r="K111"/>
      <c r="L111"/>
      <c r="M111"/>
      <c r="N111" s="153"/>
      <c r="O111"/>
      <c r="P111"/>
      <c r="Q111"/>
      <c r="R111"/>
      <c r="S111"/>
      <c r="T111"/>
      <c r="U111"/>
      <c r="V111"/>
      <c r="W111" s="153"/>
      <c r="X111"/>
      <c r="Y111"/>
      <c r="Z111"/>
      <c r="AA111"/>
      <c r="AB111"/>
      <c r="AC111" s="153"/>
      <c r="AD111"/>
      <c r="AE111"/>
      <c r="AF111"/>
      <c r="AG111"/>
      <c r="AH111"/>
      <c r="AI111" s="153"/>
      <c r="AJ111"/>
      <c r="AK111" s="153"/>
      <c r="AL111"/>
      <c r="AM111"/>
      <c r="AN111"/>
      <c r="AO111"/>
      <c r="AP111"/>
      <c r="AQ111"/>
      <c r="AR111"/>
      <c r="AS111"/>
      <c r="AT111"/>
      <c r="AU111"/>
      <c r="AV111"/>
      <c r="AW111"/>
      <c r="AX111"/>
      <c r="AY111"/>
      <c r="AZ111" s="153"/>
      <c r="BA111"/>
      <c r="BB111"/>
      <c r="BC111"/>
      <c r="BD111"/>
      <c r="BE111" s="153"/>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row>
    <row r="112" spans="3:92" x14ac:dyDescent="0.25">
      <c r="C112"/>
      <c r="D112"/>
      <c r="E112"/>
      <c r="F112"/>
      <c r="G112"/>
      <c r="H112"/>
      <c r="I112"/>
      <c r="J112"/>
      <c r="K112"/>
      <c r="L112"/>
      <c r="M112"/>
      <c r="N112"/>
      <c r="O112"/>
      <c r="P112"/>
      <c r="Q112" s="153"/>
      <c r="R112"/>
      <c r="S112"/>
      <c r="T112" s="153"/>
      <c r="U112"/>
      <c r="V112" s="153"/>
      <c r="W112"/>
      <c r="X112"/>
      <c r="Y112"/>
      <c r="Z112"/>
      <c r="AA112"/>
      <c r="AB112"/>
      <c r="AC112"/>
      <c r="AD112"/>
      <c r="AE112"/>
      <c r="AF112" s="153"/>
      <c r="AG112"/>
      <c r="AH112"/>
      <c r="AI112" s="153"/>
      <c r="AJ112"/>
      <c r="AK112"/>
      <c r="AL112"/>
      <c r="AM112"/>
      <c r="AN112"/>
      <c r="AO112"/>
      <c r="AP112" s="153"/>
      <c r="AQ112"/>
      <c r="AR112"/>
      <c r="AS112"/>
      <c r="AT112"/>
      <c r="AU112"/>
      <c r="AV112"/>
      <c r="AW112"/>
      <c r="AX112"/>
      <c r="AY112"/>
      <c r="AZ112"/>
      <c r="BA112"/>
      <c r="BB112"/>
      <c r="BC112"/>
      <c r="BD112"/>
      <c r="BE112" s="153"/>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row>
    <row r="113" spans="3:92" x14ac:dyDescent="0.25">
      <c r="C113"/>
      <c r="D113"/>
      <c r="E113"/>
      <c r="F113"/>
      <c r="G113"/>
      <c r="H113"/>
      <c r="I113"/>
      <c r="J113"/>
      <c r="K113"/>
      <c r="L113" s="153"/>
      <c r="M113"/>
      <c r="N113"/>
      <c r="O113"/>
      <c r="P113"/>
      <c r="Q113" s="153"/>
      <c r="R113"/>
      <c r="S113"/>
      <c r="T113" s="153"/>
      <c r="U113"/>
      <c r="V113"/>
      <c r="W113" s="153"/>
      <c r="X113"/>
      <c r="Y113"/>
      <c r="Z113"/>
      <c r="AA113"/>
      <c r="AB113"/>
      <c r="AC113"/>
      <c r="AD113"/>
      <c r="AE113"/>
      <c r="AF113"/>
      <c r="AG113"/>
      <c r="AH113"/>
      <c r="AI113" s="153"/>
      <c r="AJ113"/>
      <c r="AK113" s="153"/>
      <c r="AL113"/>
      <c r="AM113"/>
      <c r="AN113"/>
      <c r="AO113"/>
      <c r="AP113" s="153"/>
      <c r="AQ113"/>
      <c r="AR113"/>
      <c r="AS113"/>
      <c r="AT113"/>
      <c r="AU113" s="15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row>
    <row r="114" spans="3:92" x14ac:dyDescent="0.25">
      <c r="C114"/>
      <c r="D114"/>
      <c r="E114"/>
      <c r="F114"/>
      <c r="G114"/>
      <c r="H114"/>
      <c r="I114"/>
      <c r="J114"/>
      <c r="K114"/>
      <c r="L114" s="153"/>
      <c r="M114"/>
      <c r="N114"/>
      <c r="O114"/>
      <c r="P114"/>
      <c r="Q114" s="153"/>
      <c r="R114"/>
      <c r="S114"/>
      <c r="T114" s="153"/>
      <c r="U114"/>
      <c r="V114"/>
      <c r="W114" s="153"/>
      <c r="X114"/>
      <c r="Y114"/>
      <c r="Z114"/>
      <c r="AA114"/>
      <c r="AB114"/>
      <c r="AC114"/>
      <c r="AD114"/>
      <c r="AE114"/>
      <c r="AF114"/>
      <c r="AG114"/>
      <c r="AH114"/>
      <c r="AI114" s="153"/>
      <c r="AJ114"/>
      <c r="AK114"/>
      <c r="AL114"/>
      <c r="AM114"/>
      <c r="AN114"/>
      <c r="AO114"/>
      <c r="AP114" s="153"/>
      <c r="AQ114"/>
      <c r="AR114"/>
      <c r="AS114"/>
      <c r="AT114"/>
      <c r="AU114" s="153"/>
      <c r="AV114"/>
      <c r="AW114"/>
      <c r="AX114"/>
      <c r="AY114"/>
      <c r="AZ114"/>
      <c r="BA114"/>
      <c r="BB114"/>
      <c r="BC114"/>
      <c r="BD114"/>
      <c r="BE114" s="153"/>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row>
    <row r="115" spans="3:92" x14ac:dyDescent="0.25">
      <c r="C115"/>
      <c r="D115"/>
      <c r="E115"/>
      <c r="F115"/>
      <c r="G115"/>
      <c r="H115"/>
      <c r="I115"/>
      <c r="J115"/>
      <c r="K115"/>
      <c r="L115"/>
      <c r="M115"/>
      <c r="N115"/>
      <c r="O115"/>
      <c r="P115"/>
      <c r="Q115" s="153"/>
      <c r="R115"/>
      <c r="S115"/>
      <c r="T115"/>
      <c r="U115"/>
      <c r="V115" s="153"/>
      <c r="W115" s="153"/>
      <c r="X115"/>
      <c r="Y115"/>
      <c r="Z115" s="153"/>
      <c r="AA115"/>
      <c r="AB115"/>
      <c r="AC115"/>
      <c r="AD115"/>
      <c r="AE115"/>
      <c r="AF115" s="153"/>
      <c r="AG115"/>
      <c r="AH115"/>
      <c r="AI115"/>
      <c r="AJ115"/>
      <c r="AK115"/>
      <c r="AL115"/>
      <c r="AM115"/>
      <c r="AN115"/>
      <c r="AO115"/>
      <c r="AP115"/>
      <c r="AQ115"/>
      <c r="AR115"/>
      <c r="AS115"/>
      <c r="AT115"/>
      <c r="AU115" s="153"/>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row>
    <row r="116" spans="3:92" x14ac:dyDescent="0.25">
      <c r="C116"/>
      <c r="D116"/>
      <c r="E116"/>
      <c r="F116"/>
      <c r="G116"/>
      <c r="H116"/>
      <c r="I116"/>
      <c r="J116"/>
      <c r="K116"/>
      <c r="L116"/>
      <c r="M116"/>
      <c r="N116"/>
      <c r="O116"/>
      <c r="P116"/>
      <c r="Q116" s="153"/>
      <c r="R116"/>
      <c r="S116"/>
      <c r="T116"/>
      <c r="U116"/>
      <c r="V116" s="153"/>
      <c r="W116"/>
      <c r="X116"/>
      <c r="Y116"/>
      <c r="Z116" s="153"/>
      <c r="AA116" s="153"/>
      <c r="AB116"/>
      <c r="AC116" s="153"/>
      <c r="AD116"/>
      <c r="AE116"/>
      <c r="AF116"/>
      <c r="AG116"/>
      <c r="AH116"/>
      <c r="AI116" s="153"/>
      <c r="AJ116"/>
      <c r="AK116"/>
      <c r="AL116"/>
      <c r="AM116"/>
      <c r="AN116"/>
      <c r="AO116"/>
      <c r="AP116" s="153"/>
      <c r="AQ116"/>
      <c r="AR116"/>
      <c r="AS116"/>
      <c r="AT116"/>
      <c r="AU116"/>
      <c r="AV116"/>
      <c r="AW116"/>
      <c r="AX116"/>
      <c r="AY116"/>
      <c r="AZ116" s="153"/>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row>
    <row r="117" spans="3:92" x14ac:dyDescent="0.25">
      <c r="C117"/>
      <c r="D117"/>
      <c r="E117"/>
      <c r="F117"/>
      <c r="G117"/>
      <c r="H117"/>
      <c r="I117"/>
      <c r="J117"/>
      <c r="K117"/>
      <c r="L117"/>
      <c r="M117"/>
      <c r="N117"/>
      <c r="O117"/>
      <c r="P117"/>
      <c r="Q117"/>
      <c r="R117"/>
      <c r="S117"/>
      <c r="T117" s="153"/>
      <c r="U117"/>
      <c r="V117" s="153"/>
      <c r="W117"/>
      <c r="X117"/>
      <c r="Y117"/>
      <c r="Z117" s="153"/>
      <c r="AA117"/>
      <c r="AB117"/>
      <c r="AC117" s="153"/>
      <c r="AD117"/>
      <c r="AE117"/>
      <c r="AF117" s="153"/>
      <c r="AG117"/>
      <c r="AH117"/>
      <c r="AI117" s="153"/>
      <c r="AJ117"/>
      <c r="AK117"/>
      <c r="AL117"/>
      <c r="AM117"/>
      <c r="AN117"/>
      <c r="AO117"/>
      <c r="AP117"/>
      <c r="AQ117"/>
      <c r="AR117"/>
      <c r="AS117"/>
      <c r="AT117"/>
      <c r="AU117"/>
      <c r="AV117"/>
      <c r="AW117"/>
      <c r="AX117"/>
      <c r="AY117"/>
      <c r="AZ117"/>
      <c r="BA117"/>
      <c r="BB117"/>
      <c r="BC117"/>
      <c r="BD117"/>
      <c r="BE117" s="153"/>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row>
    <row r="118" spans="3:92" x14ac:dyDescent="0.25">
      <c r="C118"/>
      <c r="D118"/>
      <c r="E118"/>
      <c r="F118"/>
      <c r="G118"/>
      <c r="H118"/>
      <c r="I118"/>
      <c r="J118"/>
      <c r="K118"/>
      <c r="L118"/>
      <c r="M118"/>
      <c r="N118"/>
      <c r="O118"/>
      <c r="P118"/>
      <c r="Q118" s="153"/>
      <c r="R118"/>
      <c r="S118"/>
      <c r="T118"/>
      <c r="U118"/>
      <c r="V118"/>
      <c r="W118" s="153"/>
      <c r="X118"/>
      <c r="Y118"/>
      <c r="Z118"/>
      <c r="AA118" s="153"/>
      <c r="AB118"/>
      <c r="AC118" s="153"/>
      <c r="AD118"/>
      <c r="AE118"/>
      <c r="AF118" s="153"/>
      <c r="AG118"/>
      <c r="AH118"/>
      <c r="AI118"/>
      <c r="AJ118"/>
      <c r="AK118" s="153"/>
      <c r="AL118"/>
      <c r="AM118"/>
      <c r="AN118"/>
      <c r="AO118"/>
      <c r="AP118"/>
      <c r="AQ118"/>
      <c r="AR118"/>
      <c r="AS118"/>
      <c r="AT118"/>
      <c r="AU118"/>
      <c r="AV118"/>
      <c r="AW118"/>
      <c r="AX118"/>
      <c r="AY118"/>
      <c r="AZ118"/>
      <c r="BA118"/>
      <c r="BB118"/>
      <c r="BC118"/>
      <c r="BD118"/>
      <c r="BE118" s="153"/>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row>
    <row r="119" spans="3:92" x14ac:dyDescent="0.25">
      <c r="C119"/>
      <c r="D119"/>
      <c r="E119"/>
      <c r="F119"/>
      <c r="G119"/>
      <c r="H119"/>
      <c r="I119"/>
      <c r="J119"/>
      <c r="K119"/>
      <c r="L119"/>
      <c r="M119"/>
      <c r="N119"/>
      <c r="O119"/>
      <c r="P119"/>
      <c r="Q119"/>
      <c r="R119"/>
      <c r="S119"/>
      <c r="T119"/>
      <c r="U119"/>
      <c r="V119"/>
      <c r="W119" s="153"/>
      <c r="X119"/>
      <c r="Y119"/>
      <c r="Z119"/>
      <c r="AA119" s="153"/>
      <c r="AB119"/>
      <c r="AC119" s="153"/>
      <c r="AD119"/>
      <c r="AE119"/>
      <c r="AF119" s="153"/>
      <c r="AG119"/>
      <c r="AH119"/>
      <c r="AI119"/>
      <c r="AJ119"/>
      <c r="AK119"/>
      <c r="AL119"/>
      <c r="AM119"/>
      <c r="AN119"/>
      <c r="AO119"/>
      <c r="AP119"/>
      <c r="AQ119"/>
      <c r="AR119"/>
      <c r="AS119"/>
      <c r="AT119"/>
      <c r="AU119"/>
      <c r="AV119"/>
      <c r="AW119"/>
      <c r="AX119"/>
      <c r="AY119"/>
      <c r="AZ119" s="153"/>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row>
    <row r="120" spans="3:92" x14ac:dyDescent="0.25">
      <c r="C120"/>
      <c r="D120"/>
      <c r="E120"/>
      <c r="F120"/>
      <c r="G120"/>
      <c r="H120"/>
      <c r="I120"/>
      <c r="J120"/>
      <c r="K120"/>
      <c r="L120"/>
      <c r="M120"/>
      <c r="N120"/>
      <c r="O120"/>
      <c r="P120"/>
      <c r="Q120" s="153"/>
      <c r="R120"/>
      <c r="S120"/>
      <c r="T120"/>
      <c r="U120"/>
      <c r="V120" s="153"/>
      <c r="W120"/>
      <c r="X120"/>
      <c r="Y120"/>
      <c r="Z120" s="153"/>
      <c r="AA120"/>
      <c r="AB120"/>
      <c r="AC120"/>
      <c r="AD120"/>
      <c r="AE120"/>
      <c r="AF120" s="153"/>
      <c r="AG120"/>
      <c r="AH120"/>
      <c r="AI120"/>
      <c r="AJ120"/>
      <c r="AK120" s="153"/>
      <c r="AL120"/>
      <c r="AM120"/>
      <c r="AN120"/>
      <c r="AO120"/>
      <c r="AP120"/>
      <c r="AQ120"/>
      <c r="AR120"/>
      <c r="AS120"/>
      <c r="AT120"/>
      <c r="AU120"/>
      <c r="AV120"/>
      <c r="AW120"/>
      <c r="AX120"/>
      <c r="AY120"/>
      <c r="AZ120"/>
      <c r="BA120"/>
      <c r="BB120"/>
      <c r="BC120"/>
      <c r="BD120"/>
      <c r="BE120" s="153"/>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row>
    <row r="121" spans="3:92" x14ac:dyDescent="0.25">
      <c r="C121"/>
      <c r="D121"/>
      <c r="E121"/>
      <c r="F121"/>
      <c r="G121"/>
      <c r="H121"/>
      <c r="I121"/>
      <c r="J121"/>
      <c r="K121"/>
      <c r="L121"/>
      <c r="M121"/>
      <c r="N121"/>
      <c r="O121"/>
      <c r="P121"/>
      <c r="Q121"/>
      <c r="R121"/>
      <c r="S121"/>
      <c r="T121"/>
      <c r="U121"/>
      <c r="V121" s="153"/>
      <c r="W121"/>
      <c r="X121"/>
      <c r="Y121"/>
      <c r="Z121" s="153"/>
      <c r="AA121"/>
      <c r="AB121"/>
      <c r="AC121" s="153"/>
      <c r="AD121"/>
      <c r="AE121"/>
      <c r="AF121"/>
      <c r="AG121"/>
      <c r="AH121"/>
      <c r="AI121" s="153"/>
      <c r="AJ121"/>
      <c r="AK121" s="153"/>
      <c r="AL121"/>
      <c r="AM121"/>
      <c r="AN121"/>
      <c r="AO121"/>
      <c r="AP121"/>
      <c r="AQ121"/>
      <c r="AR121"/>
      <c r="AS121"/>
      <c r="AT121"/>
      <c r="AU121"/>
      <c r="AV121"/>
      <c r="AW121"/>
      <c r="AX121"/>
      <c r="AY121"/>
      <c r="AZ121"/>
      <c r="BA121"/>
      <c r="BB121"/>
      <c r="BC121"/>
      <c r="BD121"/>
      <c r="BE121" s="153"/>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row>
    <row r="122" spans="3:92" x14ac:dyDescent="0.25">
      <c r="C122"/>
      <c r="D122"/>
      <c r="E122"/>
      <c r="F122"/>
      <c r="G122"/>
      <c r="H122"/>
      <c r="I122"/>
      <c r="J122"/>
      <c r="K122"/>
      <c r="L122" s="153"/>
      <c r="M122"/>
      <c r="N122"/>
      <c r="O122"/>
      <c r="P122"/>
      <c r="Q122"/>
      <c r="R122"/>
      <c r="S122"/>
      <c r="T122"/>
      <c r="U122"/>
      <c r="V122"/>
      <c r="W122"/>
      <c r="X122"/>
      <c r="Y122"/>
      <c r="Z122"/>
      <c r="AA122" s="153"/>
      <c r="AB122"/>
      <c r="AC122" s="153"/>
      <c r="AD122"/>
      <c r="AE122"/>
      <c r="AF122" s="153"/>
      <c r="AG122"/>
      <c r="AH122"/>
      <c r="AI122" s="153"/>
      <c r="AJ122"/>
      <c r="AK122" s="153"/>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row>
    <row r="123" spans="3:92" x14ac:dyDescent="0.25">
      <c r="C123"/>
      <c r="D123"/>
      <c r="E123"/>
      <c r="F123"/>
      <c r="G123"/>
      <c r="H123"/>
      <c r="I123"/>
      <c r="J123"/>
      <c r="K123"/>
      <c r="L123"/>
      <c r="M123"/>
      <c r="N123"/>
      <c r="O123"/>
      <c r="P123"/>
      <c r="Q123" s="153"/>
      <c r="R123"/>
      <c r="S123"/>
      <c r="T123"/>
      <c r="U123"/>
      <c r="V123"/>
      <c r="W123"/>
      <c r="X123"/>
      <c r="Y123"/>
      <c r="Z123"/>
      <c r="AA123"/>
      <c r="AB123"/>
      <c r="AC123"/>
      <c r="AD123"/>
      <c r="AE123"/>
      <c r="AF123" s="153"/>
      <c r="AG123"/>
      <c r="AH123"/>
      <c r="AI123"/>
      <c r="AJ123"/>
      <c r="AK123"/>
      <c r="AL123"/>
      <c r="AM123"/>
      <c r="AN123"/>
      <c r="AO123"/>
      <c r="AP123" s="15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row>
    <row r="124" spans="3:92" x14ac:dyDescent="0.25">
      <c r="C124"/>
      <c r="D124"/>
      <c r="E124"/>
      <c r="F124"/>
      <c r="G124"/>
      <c r="H124"/>
      <c r="I124"/>
      <c r="J124"/>
      <c r="K124"/>
      <c r="L124"/>
      <c r="M124"/>
      <c r="N124"/>
      <c r="O124"/>
      <c r="P124"/>
      <c r="Q124" s="153"/>
      <c r="R124"/>
      <c r="S124"/>
      <c r="T124"/>
      <c r="U124"/>
      <c r="V124" s="153"/>
      <c r="W124"/>
      <c r="X124"/>
      <c r="Y124"/>
      <c r="Z124"/>
      <c r="AA124"/>
      <c r="AB124"/>
      <c r="AC124" s="153"/>
      <c r="AD124"/>
      <c r="AE124"/>
      <c r="AF124" s="153"/>
      <c r="AG124"/>
      <c r="AH124"/>
      <c r="AI124" s="153"/>
      <c r="AJ124"/>
      <c r="AK124"/>
      <c r="AL124"/>
      <c r="AM124"/>
      <c r="AN124"/>
      <c r="AO124"/>
      <c r="AP124" s="153"/>
      <c r="AQ124"/>
      <c r="AR124"/>
      <c r="AS124"/>
      <c r="AT124"/>
      <c r="AU124" s="153"/>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row>
    <row r="125" spans="3:92" x14ac:dyDescent="0.25">
      <c r="C125"/>
      <c r="D125"/>
      <c r="E125"/>
      <c r="F125"/>
      <c r="G125"/>
      <c r="H125"/>
      <c r="I125"/>
      <c r="J125"/>
      <c r="K125"/>
      <c r="L125"/>
      <c r="M125"/>
      <c r="N125"/>
      <c r="O125"/>
      <c r="P125"/>
      <c r="Q125"/>
      <c r="R125"/>
      <c r="S125"/>
      <c r="T125"/>
      <c r="U125"/>
      <c r="V125" s="153"/>
      <c r="W125"/>
      <c r="X125"/>
      <c r="Y125"/>
      <c r="Z125"/>
      <c r="AA125" s="153"/>
      <c r="AB125"/>
      <c r="AC125"/>
      <c r="AD125"/>
      <c r="AE125"/>
      <c r="AF125" s="153"/>
      <c r="AG125"/>
      <c r="AH125"/>
      <c r="AI125" s="153"/>
      <c r="AJ125"/>
      <c r="AK125"/>
      <c r="AL125"/>
      <c r="AM125"/>
      <c r="AN125"/>
      <c r="AO125"/>
      <c r="AP125"/>
      <c r="AQ125"/>
      <c r="AR125"/>
      <c r="AS125"/>
      <c r="AT125"/>
      <c r="AU125" s="153"/>
      <c r="AV125"/>
      <c r="AW125"/>
      <c r="AX125"/>
      <c r="AY125"/>
      <c r="AZ125" s="153"/>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row>
    <row r="126" spans="3:92" x14ac:dyDescent="0.25">
      <c r="C126"/>
      <c r="D126"/>
      <c r="E126"/>
      <c r="F126"/>
      <c r="G126"/>
      <c r="H126"/>
      <c r="I126"/>
      <c r="J126"/>
      <c r="K126"/>
      <c r="L126"/>
      <c r="M126"/>
      <c r="N126"/>
      <c r="O126"/>
      <c r="P126"/>
      <c r="Q126"/>
      <c r="R126"/>
      <c r="S126"/>
      <c r="T126"/>
      <c r="U126"/>
      <c r="V126"/>
      <c r="W126" s="153"/>
      <c r="X126"/>
      <c r="Y126"/>
      <c r="Z126"/>
      <c r="AA126" s="153"/>
      <c r="AB126"/>
      <c r="AC126"/>
      <c r="AD126"/>
      <c r="AE126"/>
      <c r="AF126" s="153"/>
      <c r="AG126"/>
      <c r="AH126"/>
      <c r="AI126" s="153"/>
      <c r="AJ126"/>
      <c r="AK126" s="153"/>
      <c r="AL126"/>
      <c r="AM126"/>
      <c r="AN126"/>
      <c r="AO126"/>
      <c r="AP126"/>
      <c r="AQ126"/>
      <c r="AR126"/>
      <c r="AS126"/>
      <c r="AT126"/>
      <c r="AU126"/>
      <c r="AV126"/>
      <c r="AW126"/>
      <c r="AX126"/>
      <c r="AY126"/>
      <c r="AZ126" s="153"/>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row>
    <row r="127" spans="3:92" x14ac:dyDescent="0.25">
      <c r="C127"/>
      <c r="D127"/>
      <c r="E127"/>
      <c r="F127"/>
      <c r="G127"/>
      <c r="H127"/>
      <c r="I127"/>
      <c r="J127"/>
      <c r="K127"/>
      <c r="L127"/>
      <c r="M127"/>
      <c r="N127"/>
      <c r="O127"/>
      <c r="P127"/>
      <c r="Q127" s="153"/>
      <c r="R127"/>
      <c r="S127"/>
      <c r="T127" s="153"/>
      <c r="U127"/>
      <c r="V127"/>
      <c r="W127"/>
      <c r="X127"/>
      <c r="Y127"/>
      <c r="Z127"/>
      <c r="AA127" s="153"/>
      <c r="AB127"/>
      <c r="AC127" s="153"/>
      <c r="AD127"/>
      <c r="AE127"/>
      <c r="AF127"/>
      <c r="AG127"/>
      <c r="AH127"/>
      <c r="AI127"/>
      <c r="AJ127"/>
      <c r="AK127"/>
      <c r="AL127"/>
      <c r="AM127"/>
      <c r="AN127"/>
      <c r="AO127"/>
      <c r="AP127"/>
      <c r="AQ127"/>
      <c r="AR127"/>
      <c r="AS127"/>
      <c r="AT127"/>
      <c r="AU127"/>
      <c r="AV127"/>
      <c r="AW127"/>
      <c r="AX127"/>
      <c r="AY127"/>
      <c r="AZ127" s="153"/>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row>
    <row r="128" spans="3:92" x14ac:dyDescent="0.25">
      <c r="C128"/>
      <c r="D128"/>
      <c r="E128"/>
      <c r="F128"/>
      <c r="G128"/>
      <c r="H128"/>
      <c r="I128"/>
      <c r="J128"/>
      <c r="K128" s="153"/>
      <c r="L128"/>
      <c r="M128"/>
      <c r="N128"/>
      <c r="O128"/>
      <c r="P128"/>
      <c r="Q128"/>
      <c r="R128"/>
      <c r="S128"/>
      <c r="T128" s="153"/>
      <c r="U128"/>
      <c r="V128"/>
      <c r="W128"/>
      <c r="X128"/>
      <c r="Y128"/>
      <c r="Z128"/>
      <c r="AA128"/>
      <c r="AB128"/>
      <c r="AC128"/>
      <c r="AD128"/>
      <c r="AE128"/>
      <c r="AF128" s="153"/>
      <c r="AG128"/>
      <c r="AH128"/>
      <c r="AI128"/>
      <c r="AJ128"/>
      <c r="AK128" s="153"/>
      <c r="AL128"/>
      <c r="AM128"/>
      <c r="AN128"/>
      <c r="AO128"/>
      <c r="AP128"/>
      <c r="AQ128"/>
      <c r="AR128"/>
      <c r="AS128"/>
      <c r="AT128"/>
      <c r="AU128"/>
      <c r="AV128"/>
      <c r="AW128"/>
      <c r="AX128"/>
      <c r="AY128"/>
      <c r="AZ128"/>
      <c r="BA128"/>
      <c r="BB128"/>
      <c r="BC128"/>
      <c r="BD128"/>
      <c r="BE128" s="153"/>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row>
    <row r="129" spans="3:92" x14ac:dyDescent="0.25">
      <c r="C129"/>
      <c r="D129"/>
      <c r="E129"/>
      <c r="F129"/>
      <c r="G129"/>
      <c r="H129"/>
      <c r="I129"/>
      <c r="J129"/>
      <c r="K129"/>
      <c r="L129"/>
      <c r="M129"/>
      <c r="N129" s="153"/>
      <c r="O129"/>
      <c r="P129"/>
      <c r="Q129"/>
      <c r="R129"/>
      <c r="S129"/>
      <c r="T129" s="153"/>
      <c r="U129"/>
      <c r="V129"/>
      <c r="W129" s="153"/>
      <c r="X129"/>
      <c r="Y129"/>
      <c r="Z129"/>
      <c r="AA129"/>
      <c r="AB129"/>
      <c r="AC129"/>
      <c r="AD129"/>
      <c r="AE129"/>
      <c r="AF129"/>
      <c r="AG129"/>
      <c r="AH129"/>
      <c r="AI129"/>
      <c r="AJ129"/>
      <c r="AK129" s="153"/>
      <c r="AL129"/>
      <c r="AM129"/>
      <c r="AN129"/>
      <c r="AO129"/>
      <c r="AP129" s="153"/>
      <c r="AQ129"/>
      <c r="AR129"/>
      <c r="AS129"/>
      <c r="AT129"/>
      <c r="AU129"/>
      <c r="AV129"/>
      <c r="AW129"/>
      <c r="AX129"/>
      <c r="AY129"/>
      <c r="AZ129"/>
      <c r="BA129"/>
      <c r="BB129"/>
      <c r="BC129"/>
      <c r="BD129"/>
      <c r="BE129" s="153"/>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row>
    <row r="130" spans="3:92" x14ac:dyDescent="0.25">
      <c r="C130"/>
      <c r="D130"/>
      <c r="E130"/>
      <c r="F130"/>
      <c r="G130"/>
      <c r="H130"/>
      <c r="I130"/>
      <c r="J130"/>
      <c r="K130"/>
      <c r="L130"/>
      <c r="M130"/>
      <c r="N130" s="153"/>
      <c r="O130"/>
      <c r="P130"/>
      <c r="Q130" s="153"/>
      <c r="R130"/>
      <c r="S130"/>
      <c r="T130"/>
      <c r="U130"/>
      <c r="V130"/>
      <c r="W130" s="153"/>
      <c r="X130"/>
      <c r="Y130"/>
      <c r="Z130"/>
      <c r="AA130"/>
      <c r="AB130"/>
      <c r="AC130"/>
      <c r="AD130"/>
      <c r="AE130"/>
      <c r="AF130"/>
      <c r="AG130"/>
      <c r="AH130"/>
      <c r="AI130"/>
      <c r="AJ130"/>
      <c r="AK130"/>
      <c r="AL130"/>
      <c r="AM130"/>
      <c r="AN130"/>
      <c r="AO130"/>
      <c r="AP130" s="153"/>
      <c r="AQ130"/>
      <c r="AR130"/>
      <c r="AS130"/>
      <c r="AT130"/>
      <c r="AU130" s="153"/>
      <c r="AV130"/>
      <c r="AW130"/>
      <c r="AX130"/>
      <c r="AY130"/>
      <c r="AZ130"/>
      <c r="BA130"/>
      <c r="BB130"/>
      <c r="BC130"/>
      <c r="BD130"/>
      <c r="BE130" s="153"/>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row>
    <row r="131" spans="3:92" x14ac:dyDescent="0.25">
      <c r="C131"/>
      <c r="D131"/>
      <c r="E131"/>
      <c r="F131"/>
      <c r="G131"/>
      <c r="H131"/>
      <c r="I131"/>
      <c r="J131"/>
      <c r="K131"/>
      <c r="L131"/>
      <c r="M131"/>
      <c r="N131"/>
      <c r="O131"/>
      <c r="P131"/>
      <c r="Q131" s="153"/>
      <c r="R131"/>
      <c r="S131"/>
      <c r="T131"/>
      <c r="U131"/>
      <c r="V131"/>
      <c r="W131"/>
      <c r="X131"/>
      <c r="Y131"/>
      <c r="Z131" s="153"/>
      <c r="AA131"/>
      <c r="AB131"/>
      <c r="AC131"/>
      <c r="AD131"/>
      <c r="AE131"/>
      <c r="AF131" s="153"/>
      <c r="AG131"/>
      <c r="AH131"/>
      <c r="AI131"/>
      <c r="AJ131"/>
      <c r="AK131" s="153"/>
      <c r="AL131"/>
      <c r="AM131"/>
      <c r="AN131"/>
      <c r="AO131"/>
      <c r="AP131" s="153"/>
      <c r="AQ131"/>
      <c r="AR131"/>
      <c r="AS131"/>
      <c r="AT131"/>
      <c r="AU131" s="153"/>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row>
    <row r="132" spans="3:92" x14ac:dyDescent="0.25">
      <c r="C132"/>
      <c r="D132"/>
      <c r="E132"/>
      <c r="F132"/>
      <c r="G132"/>
      <c r="H132"/>
      <c r="I132"/>
      <c r="J132"/>
      <c r="K132"/>
      <c r="L132"/>
      <c r="M132"/>
      <c r="N132"/>
      <c r="O132"/>
      <c r="P132"/>
      <c r="Q132" s="153"/>
      <c r="R132"/>
      <c r="S132"/>
      <c r="T132" s="153"/>
      <c r="U132"/>
      <c r="V132"/>
      <c r="W132"/>
      <c r="X132"/>
      <c r="Y132"/>
      <c r="Z132"/>
      <c r="AA132"/>
      <c r="AB132"/>
      <c r="AC132" s="153"/>
      <c r="AD132"/>
      <c r="AE132"/>
      <c r="AF132"/>
      <c r="AG132"/>
      <c r="AH132"/>
      <c r="AI132"/>
      <c r="AJ132"/>
      <c r="AK132"/>
      <c r="AL132"/>
      <c r="AM132"/>
      <c r="AN132"/>
      <c r="AO132"/>
      <c r="AP132" s="153"/>
      <c r="AQ132"/>
      <c r="AR132"/>
      <c r="AS132"/>
      <c r="AT132"/>
      <c r="AU132" s="153"/>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row>
    <row r="133" spans="3:92" x14ac:dyDescent="0.25">
      <c r="C133"/>
      <c r="D133"/>
      <c r="E133"/>
      <c r="F133"/>
      <c r="G133"/>
      <c r="H133"/>
      <c r="I133"/>
      <c r="J133"/>
      <c r="K133"/>
      <c r="L133"/>
      <c r="M133"/>
      <c r="N133"/>
      <c r="O133"/>
      <c r="P133"/>
      <c r="Q133"/>
      <c r="R133"/>
      <c r="S133"/>
      <c r="T133" s="153"/>
      <c r="U133"/>
      <c r="V133" s="153"/>
      <c r="W133" s="153"/>
      <c r="X133"/>
      <c r="Y133"/>
      <c r="Z133"/>
      <c r="AA133"/>
      <c r="AB133"/>
      <c r="AC133"/>
      <c r="AD133"/>
      <c r="AE133"/>
      <c r="AF133" s="153"/>
      <c r="AG133"/>
      <c r="AH133"/>
      <c r="AI133"/>
      <c r="AJ133"/>
      <c r="AK133"/>
      <c r="AL133"/>
      <c r="AM133"/>
      <c r="AN133"/>
      <c r="AO133"/>
      <c r="AP133"/>
      <c r="AQ133"/>
      <c r="AR133"/>
      <c r="AS133"/>
      <c r="AT133"/>
      <c r="AU133" s="153"/>
      <c r="AV133"/>
      <c r="AW133"/>
      <c r="AX133"/>
      <c r="AY133"/>
      <c r="AZ133" s="15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row>
    <row r="134" spans="3:92" x14ac:dyDescent="0.25">
      <c r="C134"/>
      <c r="D134"/>
      <c r="E134"/>
      <c r="F134"/>
      <c r="G134"/>
      <c r="H134"/>
      <c r="I134"/>
      <c r="J134"/>
      <c r="K134"/>
      <c r="L134"/>
      <c r="M134"/>
      <c r="N134"/>
      <c r="O134"/>
      <c r="P134"/>
      <c r="Q134"/>
      <c r="R134"/>
      <c r="S134"/>
      <c r="T134"/>
      <c r="U134"/>
      <c r="V134"/>
      <c r="W134" s="153"/>
      <c r="X134"/>
      <c r="Y134"/>
      <c r="Z134" s="153"/>
      <c r="AA134" s="153"/>
      <c r="AB134"/>
      <c r="AC134"/>
      <c r="AD134"/>
      <c r="AE134"/>
      <c r="AF134"/>
      <c r="AG134"/>
      <c r="AH134"/>
      <c r="AI134" s="153"/>
      <c r="AJ134"/>
      <c r="AK134"/>
      <c r="AL134"/>
      <c r="AM134"/>
      <c r="AN134"/>
      <c r="AO134"/>
      <c r="AP134"/>
      <c r="AQ134"/>
      <c r="AR134"/>
      <c r="AS134"/>
      <c r="AT134"/>
      <c r="AU134"/>
      <c r="AV134"/>
      <c r="AW134"/>
      <c r="AX134"/>
      <c r="AY134"/>
      <c r="AZ134" s="153"/>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row>
    <row r="135" spans="3:92" x14ac:dyDescent="0.25">
      <c r="C135"/>
      <c r="D135"/>
      <c r="E135"/>
      <c r="F135"/>
      <c r="G135"/>
      <c r="H135"/>
      <c r="I135"/>
      <c r="J135"/>
      <c r="K135"/>
      <c r="L135"/>
      <c r="M135"/>
      <c r="N135"/>
      <c r="O135"/>
      <c r="P135"/>
      <c r="Q135"/>
      <c r="R135"/>
      <c r="S135"/>
      <c r="T135"/>
      <c r="U135"/>
      <c r="V135"/>
      <c r="W135" s="153"/>
      <c r="X135"/>
      <c r="Y135"/>
      <c r="Z135" s="153"/>
      <c r="AA135"/>
      <c r="AB135"/>
      <c r="AC135"/>
      <c r="AD135"/>
      <c r="AE135"/>
      <c r="AF135" s="153"/>
      <c r="AG135"/>
      <c r="AH135"/>
      <c r="AI135" s="153"/>
      <c r="AJ135"/>
      <c r="AK135"/>
      <c r="AL135"/>
      <c r="AM135"/>
      <c r="AN135"/>
      <c r="AO135"/>
      <c r="AP135"/>
      <c r="AQ135"/>
      <c r="AR135"/>
      <c r="AS135"/>
      <c r="AT135"/>
      <c r="AU135"/>
      <c r="AV135"/>
      <c r="AW135"/>
      <c r="AX135"/>
      <c r="AY135"/>
      <c r="AZ135" s="153"/>
      <c r="BA135"/>
      <c r="BB135"/>
      <c r="BC135"/>
      <c r="BD135"/>
      <c r="BE135" s="153"/>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row>
    <row r="136" spans="3:92" x14ac:dyDescent="0.25">
      <c r="C136"/>
      <c r="D136"/>
      <c r="E136"/>
      <c r="F136"/>
      <c r="G136"/>
      <c r="H136"/>
      <c r="I136"/>
      <c r="J136"/>
      <c r="K136"/>
      <c r="L136"/>
      <c r="M136"/>
      <c r="N136"/>
      <c r="O136"/>
      <c r="P136"/>
      <c r="Q136"/>
      <c r="R136"/>
      <c r="S136"/>
      <c r="T136"/>
      <c r="U136"/>
      <c r="V136"/>
      <c r="W136"/>
      <c r="X136"/>
      <c r="Y136"/>
      <c r="Z136" s="153"/>
      <c r="AA136"/>
      <c r="AB136"/>
      <c r="AC136" s="153"/>
      <c r="AD136"/>
      <c r="AE136"/>
      <c r="AF136" s="153"/>
      <c r="AG136"/>
      <c r="AH136"/>
      <c r="AI136"/>
      <c r="AJ136"/>
      <c r="AK136"/>
      <c r="AL136"/>
      <c r="AM136"/>
      <c r="AN136"/>
      <c r="AO136"/>
      <c r="AP136"/>
      <c r="AQ136"/>
      <c r="AR136"/>
      <c r="AS136"/>
      <c r="AT136"/>
      <c r="AU136"/>
      <c r="AV136"/>
      <c r="AW136"/>
      <c r="AX136"/>
      <c r="AY136"/>
      <c r="AZ136" s="153"/>
      <c r="BA136"/>
      <c r="BB136"/>
      <c r="BC136"/>
      <c r="BD136"/>
      <c r="BE136" s="153"/>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row>
    <row r="137" spans="3:92" x14ac:dyDescent="0.25">
      <c r="C137"/>
      <c r="D137"/>
      <c r="E137"/>
      <c r="F137"/>
      <c r="G137"/>
      <c r="H137"/>
      <c r="I137"/>
      <c r="J137"/>
      <c r="K137"/>
      <c r="L137"/>
      <c r="M137"/>
      <c r="N137"/>
      <c r="O137"/>
      <c r="P137"/>
      <c r="Q137"/>
      <c r="R137"/>
      <c r="S137"/>
      <c r="T137"/>
      <c r="U137"/>
      <c r="V137"/>
      <c r="W137"/>
      <c r="X137"/>
      <c r="Y137"/>
      <c r="Z137"/>
      <c r="AA137"/>
      <c r="AB137"/>
      <c r="AC137" s="153"/>
      <c r="AD137"/>
      <c r="AE137"/>
      <c r="AF137" s="153"/>
      <c r="AG137"/>
      <c r="AH137"/>
      <c r="AI137" s="153"/>
      <c r="AJ137"/>
      <c r="AK137" s="153"/>
      <c r="AL137"/>
      <c r="AM137"/>
      <c r="AN137"/>
      <c r="AO137"/>
      <c r="AP137"/>
      <c r="AQ137"/>
      <c r="AR137"/>
      <c r="AS137"/>
      <c r="AT137"/>
      <c r="AU137" s="153"/>
      <c r="AV137"/>
      <c r="AW137"/>
      <c r="AX137"/>
      <c r="AY137"/>
      <c r="AZ137"/>
      <c r="BA137"/>
      <c r="BB137"/>
      <c r="BC137"/>
      <c r="BD137"/>
      <c r="BE137" s="153"/>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row>
    <row r="138" spans="3:92" x14ac:dyDescent="0.25">
      <c r="C138"/>
      <c r="D138"/>
      <c r="E138"/>
      <c r="F138"/>
      <c r="G138"/>
      <c r="H138"/>
      <c r="I138"/>
      <c r="J138"/>
      <c r="K138"/>
      <c r="L138"/>
      <c r="M138"/>
      <c r="N138"/>
      <c r="O138"/>
      <c r="P138"/>
      <c r="Q138"/>
      <c r="R138"/>
      <c r="S138"/>
      <c r="T138"/>
      <c r="U138"/>
      <c r="V138"/>
      <c r="W138"/>
      <c r="X138"/>
      <c r="Y138"/>
      <c r="Z138"/>
      <c r="AA138"/>
      <c r="AB138"/>
      <c r="AC138" s="153"/>
      <c r="AD138"/>
      <c r="AE138"/>
      <c r="AF138" s="153"/>
      <c r="AG138"/>
      <c r="AH138"/>
      <c r="AI138" s="153"/>
      <c r="AJ138"/>
      <c r="AK138"/>
      <c r="AL138"/>
      <c r="AM138"/>
      <c r="AN138"/>
      <c r="AO138"/>
      <c r="AP138" s="153"/>
      <c r="AQ138"/>
      <c r="AR138"/>
      <c r="AS138"/>
      <c r="AT138"/>
      <c r="AU138"/>
      <c r="AV138"/>
      <c r="AW138"/>
      <c r="AX138"/>
      <c r="AY138"/>
      <c r="AZ138" s="153"/>
      <c r="BA138"/>
      <c r="BB138"/>
      <c r="BC138"/>
      <c r="BD138"/>
      <c r="BE138" s="153"/>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row>
    <row r="139" spans="3:92" x14ac:dyDescent="0.25">
      <c r="C139"/>
      <c r="D139"/>
      <c r="E139"/>
      <c r="F139"/>
      <c r="G139"/>
      <c r="H139"/>
      <c r="I139"/>
      <c r="J139"/>
      <c r="K139"/>
      <c r="L139"/>
      <c r="M139"/>
      <c r="N139"/>
      <c r="O139"/>
      <c r="P139"/>
      <c r="Q139"/>
      <c r="R139"/>
      <c r="S139"/>
      <c r="T139"/>
      <c r="U139"/>
      <c r="V139"/>
      <c r="W139"/>
      <c r="X139"/>
      <c r="Y139"/>
      <c r="Z139"/>
      <c r="AA139"/>
      <c r="AB139"/>
      <c r="AC139" s="153"/>
      <c r="AD139"/>
      <c r="AE139"/>
      <c r="AF139" s="153"/>
      <c r="AG139"/>
      <c r="AH139"/>
      <c r="AI139" s="153"/>
      <c r="AJ139"/>
      <c r="AK139"/>
      <c r="AL139"/>
      <c r="AM139"/>
      <c r="AN139"/>
      <c r="AO139"/>
      <c r="AP139" s="153"/>
      <c r="AQ139"/>
      <c r="AR139"/>
      <c r="AS139"/>
      <c r="AT139"/>
      <c r="AU139" s="153"/>
      <c r="AV139"/>
      <c r="AW139"/>
      <c r="AX139"/>
      <c r="AY139"/>
      <c r="AZ139"/>
      <c r="BA139"/>
      <c r="BB139"/>
      <c r="BC139"/>
      <c r="BD139"/>
      <c r="BE139" s="153"/>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row>
    <row r="140" spans="3:92" x14ac:dyDescent="0.25">
      <c r="C140"/>
      <c r="D140"/>
      <c r="E140"/>
      <c r="F140"/>
      <c r="G140"/>
      <c r="H140"/>
      <c r="I140"/>
      <c r="J140"/>
      <c r="K140"/>
      <c r="L140"/>
      <c r="M140"/>
      <c r="N140"/>
      <c r="O140"/>
      <c r="P140"/>
      <c r="Q140"/>
      <c r="R140"/>
      <c r="S140"/>
      <c r="T140"/>
      <c r="U140"/>
      <c r="V140"/>
      <c r="W140"/>
      <c r="X140"/>
      <c r="Y140"/>
      <c r="Z140" s="153"/>
      <c r="AA140" s="153"/>
      <c r="AB140"/>
      <c r="AC140"/>
      <c r="AD140"/>
      <c r="AE140"/>
      <c r="AF140" s="153"/>
      <c r="AG140"/>
      <c r="AH140"/>
      <c r="AI140" s="153"/>
      <c r="AJ140"/>
      <c r="AK140"/>
      <c r="AL140"/>
      <c r="AM140"/>
      <c r="AN140"/>
      <c r="AO140"/>
      <c r="AP140"/>
      <c r="AQ140"/>
      <c r="AR140"/>
      <c r="AS140"/>
      <c r="AT140"/>
      <c r="AU140" s="153"/>
      <c r="AV140"/>
      <c r="AW140"/>
      <c r="AX140"/>
      <c r="AY140"/>
      <c r="AZ140"/>
      <c r="BA140"/>
      <c r="BB140"/>
      <c r="BC140"/>
      <c r="BD140"/>
      <c r="BE140" s="153"/>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row>
    <row r="141" spans="3:92" x14ac:dyDescent="0.25">
      <c r="C141"/>
      <c r="D141"/>
      <c r="E141"/>
      <c r="F141"/>
      <c r="G141"/>
      <c r="H141"/>
      <c r="I141"/>
      <c r="J141"/>
      <c r="K141"/>
      <c r="L141"/>
      <c r="M141"/>
      <c r="N141"/>
      <c r="O141"/>
      <c r="P141"/>
      <c r="Q141"/>
      <c r="R141"/>
      <c r="S141"/>
      <c r="T141"/>
      <c r="U141"/>
      <c r="V141" s="153"/>
      <c r="W141"/>
      <c r="X141"/>
      <c r="Y141"/>
      <c r="Z141" s="153"/>
      <c r="AA141"/>
      <c r="AB141"/>
      <c r="AC141" s="153"/>
      <c r="AD141"/>
      <c r="AE141"/>
      <c r="AF141"/>
      <c r="AG141"/>
      <c r="AH141"/>
      <c r="AI141"/>
      <c r="AJ141"/>
      <c r="AK141"/>
      <c r="AL141"/>
      <c r="AM141"/>
      <c r="AN141"/>
      <c r="AO141"/>
      <c r="AP141"/>
      <c r="AQ141"/>
      <c r="AR141"/>
      <c r="AS141"/>
      <c r="AT141"/>
      <c r="AU141" s="153"/>
      <c r="AV141"/>
      <c r="AW141"/>
      <c r="AX141"/>
      <c r="AY141"/>
      <c r="AZ141" s="153"/>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row>
    <row r="142" spans="3:92" x14ac:dyDescent="0.25">
      <c r="C142"/>
      <c r="D142"/>
      <c r="E142"/>
      <c r="F142"/>
      <c r="G142"/>
      <c r="H142"/>
      <c r="I142"/>
      <c r="J142"/>
      <c r="K142"/>
      <c r="L142"/>
      <c r="M142"/>
      <c r="N142"/>
      <c r="O142"/>
      <c r="P142"/>
      <c r="Q142" s="153"/>
      <c r="R142"/>
      <c r="S142"/>
      <c r="T142"/>
      <c r="U142"/>
      <c r="V142"/>
      <c r="W142"/>
      <c r="X142"/>
      <c r="Y142"/>
      <c r="Z142"/>
      <c r="AA142" s="153"/>
      <c r="AB142"/>
      <c r="AC142"/>
      <c r="AD142"/>
      <c r="AE142"/>
      <c r="AF142" s="153"/>
      <c r="AG142"/>
      <c r="AH142"/>
      <c r="AI142"/>
      <c r="AJ142"/>
      <c r="AK142" s="153"/>
      <c r="AL142"/>
      <c r="AM142"/>
      <c r="AN142"/>
      <c r="AO142"/>
      <c r="AP142"/>
      <c r="AQ142"/>
      <c r="AR142"/>
      <c r="AS142"/>
      <c r="AT142"/>
      <c r="AU142"/>
      <c r="AV142"/>
      <c r="AW142"/>
      <c r="AX142"/>
      <c r="AY142"/>
      <c r="AZ142" s="153"/>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row>
    <row r="143" spans="3:92" x14ac:dyDescent="0.25">
      <c r="C143"/>
      <c r="D143"/>
      <c r="E143"/>
      <c r="F143"/>
      <c r="G143"/>
      <c r="H143"/>
      <c r="I143"/>
      <c r="J143"/>
      <c r="K143"/>
      <c r="L143"/>
      <c r="M143"/>
      <c r="N143"/>
      <c r="O143"/>
      <c r="P143"/>
      <c r="Q143"/>
      <c r="R143"/>
      <c r="S143"/>
      <c r="T143" s="153"/>
      <c r="U143"/>
      <c r="V143"/>
      <c r="W143"/>
      <c r="X143"/>
      <c r="Y143"/>
      <c r="Z143"/>
      <c r="AA143"/>
      <c r="AB143"/>
      <c r="AC143"/>
      <c r="AD143"/>
      <c r="AE143"/>
      <c r="AF143"/>
      <c r="AG143"/>
      <c r="AH143"/>
      <c r="AI143" s="153"/>
      <c r="AJ143"/>
      <c r="AK143"/>
      <c r="AL143"/>
      <c r="AM143"/>
      <c r="AN143"/>
      <c r="AO143"/>
      <c r="AP143" s="153"/>
      <c r="AQ143"/>
      <c r="AR143"/>
      <c r="AS143"/>
      <c r="AT143"/>
      <c r="AU143"/>
      <c r="AV143"/>
      <c r="AW143"/>
      <c r="AX143"/>
      <c r="AY143"/>
      <c r="AZ143"/>
      <c r="BA143"/>
      <c r="BB143"/>
      <c r="BC143"/>
      <c r="BD143"/>
      <c r="BE143" s="15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row>
    <row r="144" spans="3:92" x14ac:dyDescent="0.25">
      <c r="C144"/>
      <c r="D144"/>
      <c r="E144"/>
      <c r="F144"/>
      <c r="G144"/>
      <c r="H144"/>
      <c r="I144"/>
      <c r="J144"/>
      <c r="K144"/>
      <c r="L144"/>
      <c r="M144"/>
      <c r="N144"/>
      <c r="O144"/>
      <c r="P144"/>
      <c r="Q144"/>
      <c r="R144"/>
      <c r="S144"/>
      <c r="T144" s="153"/>
      <c r="U144"/>
      <c r="V144" s="153"/>
      <c r="W144"/>
      <c r="X144"/>
      <c r="Y144"/>
      <c r="Z144"/>
      <c r="AA144" s="153"/>
      <c r="AB144"/>
      <c r="AC144"/>
      <c r="AD144"/>
      <c r="AE144"/>
      <c r="AF144"/>
      <c r="AG144"/>
      <c r="AH144"/>
      <c r="AI144" s="153"/>
      <c r="AJ144"/>
      <c r="AK144"/>
      <c r="AL144"/>
      <c r="AM144"/>
      <c r="AN144"/>
      <c r="AO144"/>
      <c r="AP144" s="153"/>
      <c r="AQ144"/>
      <c r="AR144"/>
      <c r="AS144"/>
      <c r="AT144"/>
      <c r="AU144" s="153"/>
      <c r="AV144"/>
      <c r="AW144"/>
      <c r="AX144"/>
      <c r="AY144"/>
      <c r="AZ144"/>
      <c r="BA144"/>
      <c r="BB144"/>
      <c r="BC144"/>
      <c r="BD144"/>
      <c r="BE144" s="153"/>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row>
    <row r="145" spans="3:92" x14ac:dyDescent="0.25">
      <c r="C145"/>
      <c r="D145"/>
      <c r="E145"/>
      <c r="F145"/>
      <c r="G145"/>
      <c r="H145"/>
      <c r="I145"/>
      <c r="J145"/>
      <c r="K145"/>
      <c r="L145"/>
      <c r="M145"/>
      <c r="N145"/>
      <c r="O145"/>
      <c r="P145"/>
      <c r="Q145"/>
      <c r="R145"/>
      <c r="S145"/>
      <c r="T145"/>
      <c r="U145"/>
      <c r="V145"/>
      <c r="W145" s="153"/>
      <c r="X145"/>
      <c r="Y145"/>
      <c r="Z145"/>
      <c r="AA145" s="153"/>
      <c r="AB145"/>
      <c r="AC145"/>
      <c r="AD145"/>
      <c r="AE145"/>
      <c r="AF145" s="153"/>
      <c r="AG145"/>
      <c r="AH145"/>
      <c r="AI145"/>
      <c r="AJ145"/>
      <c r="AK145"/>
      <c r="AL145"/>
      <c r="AM145"/>
      <c r="AN145"/>
      <c r="AO145"/>
      <c r="AP145"/>
      <c r="AQ145"/>
      <c r="AR145"/>
      <c r="AS145"/>
      <c r="AT145"/>
      <c r="AU145" s="153"/>
      <c r="AV145"/>
      <c r="AW145"/>
      <c r="AX145"/>
      <c r="AY145"/>
      <c r="AZ145" s="153"/>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row>
    <row r="146" spans="3:92" x14ac:dyDescent="0.25">
      <c r="C146"/>
      <c r="D146"/>
      <c r="E146"/>
      <c r="F146"/>
      <c r="G146"/>
      <c r="H146"/>
      <c r="I146"/>
      <c r="J146"/>
      <c r="K146"/>
      <c r="L146"/>
      <c r="M146"/>
      <c r="N146"/>
      <c r="O146"/>
      <c r="P146"/>
      <c r="Q146"/>
      <c r="R146"/>
      <c r="S146"/>
      <c r="T146"/>
      <c r="U146"/>
      <c r="V146"/>
      <c r="W146" s="153"/>
      <c r="X146"/>
      <c r="Y146"/>
      <c r="Z146" s="153"/>
      <c r="AA146"/>
      <c r="AB146"/>
      <c r="AC146"/>
      <c r="AD146"/>
      <c r="AE146"/>
      <c r="AF146"/>
      <c r="AG146"/>
      <c r="AH146"/>
      <c r="AI146" s="153"/>
      <c r="AJ146"/>
      <c r="AK146" s="153"/>
      <c r="AL146"/>
      <c r="AM146"/>
      <c r="AN146"/>
      <c r="AO146"/>
      <c r="AP146"/>
      <c r="AQ146"/>
      <c r="AR146"/>
      <c r="AS146"/>
      <c r="AT146"/>
      <c r="AU146" s="153"/>
      <c r="AV146"/>
      <c r="AW146"/>
      <c r="AX146"/>
      <c r="AY146"/>
      <c r="AZ146"/>
      <c r="BA146"/>
      <c r="BB146"/>
      <c r="BC146"/>
      <c r="BD146"/>
      <c r="BE146" s="153"/>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row>
    <row r="147" spans="3:92" x14ac:dyDescent="0.25">
      <c r="C147"/>
      <c r="D147"/>
      <c r="E147"/>
      <c r="F147"/>
      <c r="G147"/>
      <c r="H147"/>
      <c r="I147"/>
      <c r="J147"/>
      <c r="K147"/>
      <c r="L147"/>
      <c r="M147"/>
      <c r="N147"/>
      <c r="O147"/>
      <c r="P147"/>
      <c r="Q147"/>
      <c r="R147"/>
      <c r="S147"/>
      <c r="T147"/>
      <c r="U147"/>
      <c r="V147"/>
      <c r="W147"/>
      <c r="X147"/>
      <c r="Y147"/>
      <c r="Z147" s="153"/>
      <c r="AA147" s="153"/>
      <c r="AB147"/>
      <c r="AC147" s="153"/>
      <c r="AD147"/>
      <c r="AE147"/>
      <c r="AF147" s="153"/>
      <c r="AG147"/>
      <c r="AH147"/>
      <c r="AI147" s="153"/>
      <c r="AJ147"/>
      <c r="AK147"/>
      <c r="AL147"/>
      <c r="AM147"/>
      <c r="AN147"/>
      <c r="AO147"/>
      <c r="AP147" s="153"/>
      <c r="AQ147"/>
      <c r="AR147"/>
      <c r="AS147"/>
      <c r="AT147"/>
      <c r="AU147"/>
      <c r="AV147"/>
      <c r="AW147"/>
      <c r="AX147"/>
      <c r="AY147"/>
      <c r="AZ147" s="153"/>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row>
    <row r="148" spans="3:92" x14ac:dyDescent="0.25">
      <c r="C148"/>
      <c r="D148"/>
      <c r="E148"/>
      <c r="F148"/>
      <c r="G148"/>
      <c r="H148"/>
      <c r="I148"/>
      <c r="J148"/>
      <c r="K148"/>
      <c r="L148"/>
      <c r="M148"/>
      <c r="N148"/>
      <c r="O148"/>
      <c r="P148"/>
      <c r="Q148" s="153"/>
      <c r="R148"/>
      <c r="S148"/>
      <c r="T148"/>
      <c r="U148"/>
      <c r="V148"/>
      <c r="W148"/>
      <c r="X148"/>
      <c r="Y148"/>
      <c r="Z148" s="153"/>
      <c r="AA148"/>
      <c r="AB148"/>
      <c r="AC148" s="153"/>
      <c r="AD148"/>
      <c r="AE148"/>
      <c r="AF148" s="153"/>
      <c r="AG148"/>
      <c r="AH148"/>
      <c r="AI148"/>
      <c r="AJ148"/>
      <c r="AK148"/>
      <c r="AL148"/>
      <c r="AM148"/>
      <c r="AN148"/>
      <c r="AO148"/>
      <c r="AP148"/>
      <c r="AQ148"/>
      <c r="AR148"/>
      <c r="AS148"/>
      <c r="AT148"/>
      <c r="AU148" s="153"/>
      <c r="AV148"/>
      <c r="AW148"/>
      <c r="AX148"/>
      <c r="AY148"/>
      <c r="AZ148"/>
      <c r="BA148"/>
      <c r="BB148"/>
      <c r="BC148"/>
      <c r="BD148"/>
      <c r="BE148" s="153"/>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row>
    <row r="149" spans="3:92" x14ac:dyDescent="0.25">
      <c r="C149"/>
      <c r="D149"/>
      <c r="E149"/>
      <c r="F149"/>
      <c r="G149"/>
      <c r="H149"/>
      <c r="I149"/>
      <c r="J149"/>
      <c r="K149"/>
      <c r="L149"/>
      <c r="M149"/>
      <c r="N149"/>
      <c r="O149"/>
      <c r="P149"/>
      <c r="Q149"/>
      <c r="R149"/>
      <c r="S149"/>
      <c r="T149"/>
      <c r="U149"/>
      <c r="V149"/>
      <c r="W149"/>
      <c r="X149"/>
      <c r="Y149"/>
      <c r="Z149"/>
      <c r="AA149"/>
      <c r="AB149"/>
      <c r="AC149" s="153"/>
      <c r="AD149"/>
      <c r="AE149"/>
      <c r="AF149" s="153"/>
      <c r="AG149"/>
      <c r="AH149"/>
      <c r="AI149"/>
      <c r="AJ149"/>
      <c r="AK149"/>
      <c r="AL149"/>
      <c r="AM149"/>
      <c r="AN149"/>
      <c r="AO149"/>
      <c r="AP149" s="153"/>
      <c r="AQ149"/>
      <c r="AR149"/>
      <c r="AS149"/>
      <c r="AT149"/>
      <c r="AU149"/>
      <c r="AV149"/>
      <c r="AW149"/>
      <c r="AX149"/>
      <c r="AY149"/>
      <c r="AZ149" s="153"/>
      <c r="BA149"/>
      <c r="BB149"/>
      <c r="BC149"/>
      <c r="BD149"/>
      <c r="BE149" s="153"/>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row>
    <row r="150" spans="3:92" x14ac:dyDescent="0.25">
      <c r="C150"/>
      <c r="D150"/>
      <c r="E150"/>
      <c r="F150"/>
      <c r="G150"/>
      <c r="H150"/>
      <c r="I150"/>
      <c r="J150"/>
      <c r="K150"/>
      <c r="L150"/>
      <c r="M150"/>
      <c r="N150"/>
      <c r="O150"/>
      <c r="P150"/>
      <c r="Q150"/>
      <c r="R150"/>
      <c r="S150"/>
      <c r="T150"/>
      <c r="U150"/>
      <c r="V150"/>
      <c r="W150"/>
      <c r="X150"/>
      <c r="Y150"/>
      <c r="Z150"/>
      <c r="AA150"/>
      <c r="AB150"/>
      <c r="AC150" s="153"/>
      <c r="AD150"/>
      <c r="AE150"/>
      <c r="AF150" s="153"/>
      <c r="AG150"/>
      <c r="AH150"/>
      <c r="AI150"/>
      <c r="AJ150"/>
      <c r="AK150"/>
      <c r="AL150"/>
      <c r="AM150"/>
      <c r="AN150"/>
      <c r="AO150"/>
      <c r="AP150"/>
      <c r="AQ150"/>
      <c r="AR150"/>
      <c r="AS150"/>
      <c r="AT150"/>
      <c r="AU150" s="153"/>
      <c r="AV150"/>
      <c r="AW150"/>
      <c r="AX150"/>
      <c r="AY150"/>
      <c r="AZ150" s="153"/>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row>
    <row r="151" spans="3:92" x14ac:dyDescent="0.25">
      <c r="C151"/>
      <c r="D151"/>
      <c r="E151"/>
      <c r="F151"/>
      <c r="G151"/>
      <c r="H151"/>
      <c r="I151"/>
      <c r="J151"/>
      <c r="K151"/>
      <c r="L151"/>
      <c r="M151"/>
      <c r="N151"/>
      <c r="O151"/>
      <c r="P151"/>
      <c r="Q151"/>
      <c r="R151"/>
      <c r="S151"/>
      <c r="T151"/>
      <c r="U151"/>
      <c r="V151"/>
      <c r="W151"/>
      <c r="X151"/>
      <c r="Y151"/>
      <c r="Z151"/>
      <c r="AA151"/>
      <c r="AB151"/>
      <c r="AC151"/>
      <c r="AD151"/>
      <c r="AE151"/>
      <c r="AF151" s="153"/>
      <c r="AG151"/>
      <c r="AH151"/>
      <c r="AI151"/>
      <c r="AJ151"/>
      <c r="AK151" s="153"/>
      <c r="AL151"/>
      <c r="AM151"/>
      <c r="AN151"/>
      <c r="AO151"/>
      <c r="AP151"/>
      <c r="AQ151"/>
      <c r="AR151"/>
      <c r="AS151"/>
      <c r="AT151"/>
      <c r="AU151"/>
      <c r="AV151"/>
      <c r="AW151"/>
      <c r="AX151"/>
      <c r="AY151"/>
      <c r="AZ151"/>
      <c r="BA151"/>
      <c r="BB151"/>
      <c r="BC151"/>
      <c r="BD151"/>
      <c r="BE151" s="153"/>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row>
    <row r="152" spans="3:92" x14ac:dyDescent="0.25">
      <c r="C152"/>
      <c r="D152"/>
      <c r="E152"/>
      <c r="F152"/>
      <c r="G152"/>
      <c r="H152"/>
      <c r="I152"/>
      <c r="J152"/>
      <c r="K152"/>
      <c r="L152"/>
      <c r="M152"/>
      <c r="N152"/>
      <c r="O152"/>
      <c r="P152"/>
      <c r="Q152"/>
      <c r="R152"/>
      <c r="S152"/>
      <c r="T152"/>
      <c r="U152"/>
      <c r="V152"/>
      <c r="W152"/>
      <c r="X152"/>
      <c r="Y152"/>
      <c r="Z152"/>
      <c r="AA152"/>
      <c r="AB152"/>
      <c r="AC152"/>
      <c r="AD152"/>
      <c r="AE152"/>
      <c r="AF152" s="153"/>
      <c r="AG152"/>
      <c r="AH152"/>
      <c r="AI152" s="153"/>
      <c r="AJ152"/>
      <c r="AK152"/>
      <c r="AL152"/>
      <c r="AM152"/>
      <c r="AN152"/>
      <c r="AO152"/>
      <c r="AP152"/>
      <c r="AQ152"/>
      <c r="AR152"/>
      <c r="AS152"/>
      <c r="AT152"/>
      <c r="AU152" s="153"/>
      <c r="AV152"/>
      <c r="AW152"/>
      <c r="AX152"/>
      <c r="AY152"/>
      <c r="AZ152"/>
      <c r="BA152"/>
      <c r="BB152"/>
      <c r="BC152"/>
      <c r="BD152"/>
      <c r="BE152" s="153"/>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row>
    <row r="153" spans="3:92" x14ac:dyDescent="0.25">
      <c r="C153"/>
      <c r="D153"/>
      <c r="E153"/>
      <c r="F153"/>
      <c r="G153"/>
      <c r="H153"/>
      <c r="I153"/>
      <c r="J153"/>
      <c r="K153"/>
      <c r="L153"/>
      <c r="M153"/>
      <c r="N153"/>
      <c r="O153"/>
      <c r="P153"/>
      <c r="Q153"/>
      <c r="R153"/>
      <c r="S153"/>
      <c r="T153"/>
      <c r="U153"/>
      <c r="V153"/>
      <c r="W153"/>
      <c r="X153"/>
      <c r="Y153"/>
      <c r="Z153" s="153"/>
      <c r="AA153"/>
      <c r="AB153"/>
      <c r="AC153"/>
      <c r="AD153"/>
      <c r="AE153"/>
      <c r="AF153" s="153"/>
      <c r="AG153"/>
      <c r="AH153"/>
      <c r="AI153" s="153"/>
      <c r="AJ153"/>
      <c r="AK153" s="153"/>
      <c r="AL153"/>
      <c r="AM153"/>
      <c r="AN153"/>
      <c r="AO153"/>
      <c r="AP153"/>
      <c r="AQ153"/>
      <c r="AR153"/>
      <c r="AS153"/>
      <c r="AT153"/>
      <c r="AU153" s="153"/>
      <c r="AV153"/>
      <c r="AW153"/>
      <c r="AX153"/>
      <c r="AY153"/>
      <c r="AZ153" s="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row>
    <row r="154" spans="3:92" x14ac:dyDescent="0.25">
      <c r="C154"/>
      <c r="D154"/>
      <c r="E154"/>
      <c r="F154"/>
      <c r="G154"/>
      <c r="H154"/>
      <c r="I154"/>
      <c r="J154"/>
      <c r="K154"/>
      <c r="L154"/>
      <c r="M154"/>
      <c r="N154"/>
      <c r="O154"/>
      <c r="P154"/>
      <c r="Q154"/>
      <c r="R154"/>
      <c r="S154"/>
      <c r="T154"/>
      <c r="U154"/>
      <c r="V154" s="153"/>
      <c r="W154" s="153"/>
      <c r="X154"/>
      <c r="Y154"/>
      <c r="Z154"/>
      <c r="AA154" s="153"/>
      <c r="AB154"/>
      <c r="AC154"/>
      <c r="AD154"/>
      <c r="AE154"/>
      <c r="AF154" s="153"/>
      <c r="AG154"/>
      <c r="AH154"/>
      <c r="AI154"/>
      <c r="AJ154"/>
      <c r="AK154"/>
      <c r="AL154"/>
      <c r="AM154"/>
      <c r="AN154"/>
      <c r="AO154"/>
      <c r="AP154" s="153"/>
      <c r="AQ154"/>
      <c r="AR154"/>
      <c r="AS154"/>
      <c r="AT154"/>
      <c r="AU154"/>
      <c r="AV154"/>
      <c r="AW154"/>
      <c r="AX154"/>
      <c r="AY154"/>
      <c r="AZ154"/>
      <c r="BA154"/>
      <c r="BB154"/>
      <c r="BC154"/>
      <c r="BD154"/>
      <c r="BE154" s="153"/>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row>
    <row r="155" spans="3:92" x14ac:dyDescent="0.25">
      <c r="C155"/>
      <c r="D155"/>
      <c r="E155"/>
      <c r="F155"/>
      <c r="G155"/>
      <c r="H155"/>
      <c r="I155"/>
      <c r="J155"/>
      <c r="K155"/>
      <c r="L155"/>
      <c r="M155"/>
      <c r="N155"/>
      <c r="O155"/>
      <c r="P155"/>
      <c r="Q155"/>
      <c r="R155"/>
      <c r="S155"/>
      <c r="T155"/>
      <c r="U155"/>
      <c r="V155"/>
      <c r="W155"/>
      <c r="X155"/>
      <c r="Y155"/>
      <c r="Z155" s="153"/>
      <c r="AA155" s="153"/>
      <c r="AB155"/>
      <c r="AC155"/>
      <c r="AD155"/>
      <c r="AE155"/>
      <c r="AF155"/>
      <c r="AG155"/>
      <c r="AH155"/>
      <c r="AI155" s="153"/>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row>
    <row r="156" spans="3:92" x14ac:dyDescent="0.25">
      <c r="C156"/>
      <c r="D156"/>
      <c r="E156"/>
      <c r="F156"/>
      <c r="G156"/>
      <c r="H156"/>
      <c r="I156"/>
      <c r="J156"/>
      <c r="K156"/>
      <c r="L156"/>
      <c r="M156"/>
      <c r="N156"/>
      <c r="O156"/>
      <c r="P156"/>
      <c r="Q156"/>
      <c r="R156"/>
      <c r="S156"/>
      <c r="T156"/>
      <c r="U156"/>
      <c r="V156" s="153"/>
      <c r="W156"/>
      <c r="X156"/>
      <c r="Y156"/>
      <c r="Z156"/>
      <c r="AA156"/>
      <c r="AB156"/>
      <c r="AC156" s="153"/>
      <c r="AD156"/>
      <c r="AE156"/>
      <c r="AF156" s="153"/>
      <c r="AG156"/>
      <c r="AH156"/>
      <c r="AI156" s="153"/>
      <c r="AJ156"/>
      <c r="AK156"/>
      <c r="AL156"/>
      <c r="AM156"/>
      <c r="AN156"/>
      <c r="AO156"/>
      <c r="AP156" s="153"/>
      <c r="AQ156"/>
      <c r="AR156"/>
      <c r="AS156"/>
      <c r="AT156"/>
      <c r="AU156"/>
      <c r="AV156"/>
      <c r="AW156"/>
      <c r="AX156"/>
      <c r="AY156"/>
      <c r="AZ156"/>
      <c r="BA156"/>
      <c r="BB156"/>
      <c r="BC156"/>
      <c r="BD156"/>
      <c r="BE156" s="153"/>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row>
    <row r="157" spans="3:92" x14ac:dyDescent="0.25">
      <c r="C157"/>
      <c r="D157"/>
      <c r="E157"/>
      <c r="F157"/>
      <c r="G157"/>
      <c r="H157"/>
      <c r="I157"/>
      <c r="J157"/>
      <c r="K157"/>
      <c r="L157"/>
      <c r="M157"/>
      <c r="N157"/>
      <c r="O157"/>
      <c r="P157"/>
      <c r="Q157"/>
      <c r="R157"/>
      <c r="S157"/>
      <c r="T157" s="153"/>
      <c r="U157"/>
      <c r="V157"/>
      <c r="W157"/>
      <c r="X157"/>
      <c r="Y157"/>
      <c r="Z157"/>
      <c r="AA157" s="153"/>
      <c r="AB157"/>
      <c r="AC157"/>
      <c r="AD157"/>
      <c r="AE157"/>
      <c r="AF157" s="153"/>
      <c r="AG157"/>
      <c r="AH157"/>
      <c r="AI157"/>
      <c r="AJ157"/>
      <c r="AK157" s="153"/>
      <c r="AL157"/>
      <c r="AM157"/>
      <c r="AN157"/>
      <c r="AO157"/>
      <c r="AP157"/>
      <c r="AQ157"/>
      <c r="AR157"/>
      <c r="AS157"/>
      <c r="AT157"/>
      <c r="AU157" s="153"/>
      <c r="AV157"/>
      <c r="AW157"/>
      <c r="AX157"/>
      <c r="AY157"/>
      <c r="AZ157" s="153"/>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row>
    <row r="158" spans="3:92" x14ac:dyDescent="0.25">
      <c r="C158"/>
      <c r="D158"/>
      <c r="E158"/>
      <c r="F158"/>
      <c r="G158"/>
      <c r="H158"/>
      <c r="I158"/>
      <c r="J158"/>
      <c r="K158"/>
      <c r="L158"/>
      <c r="M158"/>
      <c r="N158" s="153"/>
      <c r="O158"/>
      <c r="P158"/>
      <c r="Q158"/>
      <c r="R158"/>
      <c r="S158"/>
      <c r="T158"/>
      <c r="U158"/>
      <c r="V158"/>
      <c r="W158"/>
      <c r="X158"/>
      <c r="Y158"/>
      <c r="Z158"/>
      <c r="AA158"/>
      <c r="AB158"/>
      <c r="AC158"/>
      <c r="AD158"/>
      <c r="AE158"/>
      <c r="AF158" s="153"/>
      <c r="AG158"/>
      <c r="AH158"/>
      <c r="AI158"/>
      <c r="AJ158"/>
      <c r="AK158" s="153"/>
      <c r="AL158"/>
      <c r="AM158"/>
      <c r="AN158"/>
      <c r="AO158"/>
      <c r="AP158" s="153"/>
      <c r="AQ158"/>
      <c r="AR158"/>
      <c r="AS158"/>
      <c r="AT158"/>
      <c r="AU158"/>
      <c r="AV158"/>
      <c r="AW158"/>
      <c r="AX158"/>
      <c r="AY158"/>
      <c r="AZ158" s="153"/>
      <c r="BA158"/>
      <c r="BB158"/>
      <c r="BC158"/>
      <c r="BD158"/>
      <c r="BE158" s="153"/>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row>
    <row r="159" spans="3:92" x14ac:dyDescent="0.25">
      <c r="C159"/>
      <c r="D159"/>
      <c r="E159"/>
      <c r="F159"/>
      <c r="G159"/>
      <c r="H159"/>
      <c r="I159"/>
      <c r="J159"/>
      <c r="K159"/>
      <c r="L159"/>
      <c r="M159"/>
      <c r="N159"/>
      <c r="O159"/>
      <c r="P159"/>
      <c r="Q159" s="153"/>
      <c r="R159"/>
      <c r="S159"/>
      <c r="T159"/>
      <c r="U159"/>
      <c r="V159"/>
      <c r="W159"/>
      <c r="X159"/>
      <c r="Y159"/>
      <c r="Z159"/>
      <c r="AA159" s="153"/>
      <c r="AB159"/>
      <c r="AC159" s="153"/>
      <c r="AD159"/>
      <c r="AE159"/>
      <c r="AF159"/>
      <c r="AG159"/>
      <c r="AH159"/>
      <c r="AI159"/>
      <c r="AJ159"/>
      <c r="AK159"/>
      <c r="AL159"/>
      <c r="AM159"/>
      <c r="AN159"/>
      <c r="AO159"/>
      <c r="AP159" s="153"/>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row>
    <row r="160" spans="3:92" x14ac:dyDescent="0.25">
      <c r="C160"/>
      <c r="D160"/>
      <c r="E160"/>
      <c r="F160"/>
      <c r="G160"/>
      <c r="H160"/>
      <c r="I160"/>
      <c r="J160"/>
      <c r="K160"/>
      <c r="L160"/>
      <c r="M160"/>
      <c r="N160"/>
      <c r="O160"/>
      <c r="P160"/>
      <c r="Q160"/>
      <c r="R160"/>
      <c r="S160"/>
      <c r="T160" s="153"/>
      <c r="U160"/>
      <c r="V160"/>
      <c r="W160"/>
      <c r="X160"/>
      <c r="Y160"/>
      <c r="Z160"/>
      <c r="AA160"/>
      <c r="AB160"/>
      <c r="AC160"/>
      <c r="AD160"/>
      <c r="AE160"/>
      <c r="AF160" s="153"/>
      <c r="AG160"/>
      <c r="AH160"/>
      <c r="AI160"/>
      <c r="AJ160"/>
      <c r="AK160" s="153"/>
      <c r="AL160"/>
      <c r="AM160"/>
      <c r="AN160"/>
      <c r="AO160"/>
      <c r="AP160" s="153"/>
      <c r="AQ160"/>
      <c r="AR160"/>
      <c r="AS160"/>
      <c r="AT160"/>
      <c r="AU160"/>
      <c r="AV160"/>
      <c r="AW160"/>
      <c r="AX160"/>
      <c r="AY160"/>
      <c r="AZ160" s="153"/>
      <c r="BA160"/>
      <c r="BB160"/>
      <c r="BC160"/>
      <c r="BD160"/>
      <c r="BE160" s="153"/>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row>
    <row r="161" spans="3:92" x14ac:dyDescent="0.25">
      <c r="C161"/>
      <c r="D161"/>
      <c r="E161"/>
      <c r="F161"/>
      <c r="G161"/>
      <c r="H161"/>
      <c r="I161"/>
      <c r="J161"/>
      <c r="K161"/>
      <c r="L161"/>
      <c r="M161"/>
      <c r="N161"/>
      <c r="O161"/>
      <c r="P161"/>
      <c r="Q161"/>
      <c r="R161"/>
      <c r="S161"/>
      <c r="T161"/>
      <c r="U161"/>
      <c r="V161"/>
      <c r="W161" s="153"/>
      <c r="X161"/>
      <c r="Y161"/>
      <c r="Z161"/>
      <c r="AA161"/>
      <c r="AB161"/>
      <c r="AC161"/>
      <c r="AD161"/>
      <c r="AE161"/>
      <c r="AF161" s="153"/>
      <c r="AG161"/>
      <c r="AH161"/>
      <c r="AI161"/>
      <c r="AJ161"/>
      <c r="AK161" s="153"/>
      <c r="AL161"/>
      <c r="AM161"/>
      <c r="AN161"/>
      <c r="AO161"/>
      <c r="AP161" s="153"/>
      <c r="AQ161"/>
      <c r="AR161"/>
      <c r="AS161"/>
      <c r="AT161"/>
      <c r="AU161" s="153"/>
      <c r="AV161"/>
      <c r="AW161"/>
      <c r="AX161"/>
      <c r="AY161"/>
      <c r="AZ161"/>
      <c r="BA161"/>
      <c r="BB161"/>
      <c r="BC161"/>
      <c r="BD161"/>
      <c r="BE161" s="153"/>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row>
    <row r="162" spans="3:92" x14ac:dyDescent="0.25">
      <c r="C162"/>
      <c r="D162"/>
      <c r="E162"/>
      <c r="F162"/>
      <c r="G162"/>
      <c r="H162"/>
      <c r="I162"/>
      <c r="J162"/>
      <c r="K162"/>
      <c r="L162"/>
      <c r="M162"/>
      <c r="N162"/>
      <c r="O162"/>
      <c r="P162"/>
      <c r="Q162"/>
      <c r="R162"/>
      <c r="S162"/>
      <c r="T162"/>
      <c r="U162"/>
      <c r="V162"/>
      <c r="W162"/>
      <c r="X162"/>
      <c r="Y162"/>
      <c r="Z162" s="153"/>
      <c r="AA162"/>
      <c r="AB162"/>
      <c r="AC162"/>
      <c r="AD162"/>
      <c r="AE162"/>
      <c r="AF162" s="153"/>
      <c r="AG162"/>
      <c r="AH162"/>
      <c r="AI162"/>
      <c r="AJ162"/>
      <c r="AK162"/>
      <c r="AL162"/>
      <c r="AM162"/>
      <c r="AN162"/>
      <c r="AO162"/>
      <c r="AP162" s="153"/>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row>
    <row r="163" spans="3:92" x14ac:dyDescent="0.25">
      <c r="C163"/>
      <c r="D163"/>
      <c r="E163"/>
      <c r="F163"/>
      <c r="G163"/>
      <c r="H163"/>
      <c r="I163"/>
      <c r="J163"/>
      <c r="K163"/>
      <c r="L163"/>
      <c r="M163"/>
      <c r="N163"/>
      <c r="O163"/>
      <c r="P163"/>
      <c r="Q163" s="153"/>
      <c r="R163"/>
      <c r="S163"/>
      <c r="T163"/>
      <c r="U163"/>
      <c r="V163"/>
      <c r="W163"/>
      <c r="X163"/>
      <c r="Y163"/>
      <c r="Z163" s="153"/>
      <c r="AA163"/>
      <c r="AB163"/>
      <c r="AC163"/>
      <c r="AD163"/>
      <c r="AE163"/>
      <c r="AF163"/>
      <c r="AG163"/>
      <c r="AH163"/>
      <c r="AI163"/>
      <c r="AJ163"/>
      <c r="AK163"/>
      <c r="AL163"/>
      <c r="AM163"/>
      <c r="AN163"/>
      <c r="AO163"/>
      <c r="AP163"/>
      <c r="AQ163"/>
      <c r="AR163"/>
      <c r="AS163"/>
      <c r="AT163"/>
      <c r="AU163" s="153"/>
      <c r="AV163"/>
      <c r="AW163"/>
      <c r="AX163"/>
      <c r="AY163"/>
      <c r="AZ163"/>
      <c r="BA163"/>
      <c r="BB163"/>
      <c r="BC163"/>
      <c r="BD163"/>
      <c r="BE163" s="15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row>
    <row r="164" spans="3:92" x14ac:dyDescent="0.25">
      <c r="C164"/>
      <c r="D164"/>
      <c r="E164"/>
      <c r="F164"/>
      <c r="G164"/>
      <c r="H164"/>
      <c r="I164"/>
      <c r="J164"/>
      <c r="K164"/>
      <c r="L164"/>
      <c r="M164"/>
      <c r="N164"/>
      <c r="O164"/>
      <c r="P164"/>
      <c r="Q164"/>
      <c r="R164"/>
      <c r="S164"/>
      <c r="T164"/>
      <c r="U164"/>
      <c r="V164" s="153"/>
      <c r="W164" s="153"/>
      <c r="X164"/>
      <c r="Y164"/>
      <c r="Z164"/>
      <c r="AA164"/>
      <c r="AB164"/>
      <c r="AC164"/>
      <c r="AD164"/>
      <c r="AE164"/>
      <c r="AF164"/>
      <c r="AG164"/>
      <c r="AH164"/>
      <c r="AI164"/>
      <c r="AJ164"/>
      <c r="AK164"/>
      <c r="AL164"/>
      <c r="AM164"/>
      <c r="AN164"/>
      <c r="AO164"/>
      <c r="AP164" s="153"/>
      <c r="AQ164"/>
      <c r="AR164"/>
      <c r="AS164"/>
      <c r="AT164"/>
      <c r="AU164"/>
      <c r="AV164"/>
      <c r="AW164"/>
      <c r="AX164"/>
      <c r="AY164"/>
      <c r="AZ164" s="153"/>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row>
    <row r="165" spans="3:92" x14ac:dyDescent="0.25">
      <c r="C165"/>
      <c r="D165"/>
      <c r="E165"/>
      <c r="F165"/>
      <c r="G165"/>
      <c r="H165"/>
      <c r="I165"/>
      <c r="J165"/>
      <c r="K165"/>
      <c r="L165"/>
      <c r="M165"/>
      <c r="N165"/>
      <c r="O165"/>
      <c r="P165"/>
      <c r="Q165"/>
      <c r="R165"/>
      <c r="S165"/>
      <c r="T165"/>
      <c r="U165"/>
      <c r="V165"/>
      <c r="W165"/>
      <c r="X165"/>
      <c r="Y165"/>
      <c r="Z165" s="153"/>
      <c r="AA165" s="153"/>
      <c r="AB165"/>
      <c r="AC165"/>
      <c r="AD165"/>
      <c r="AE165"/>
      <c r="AF165"/>
      <c r="AG165"/>
      <c r="AH165"/>
      <c r="AI165"/>
      <c r="AJ165"/>
      <c r="AK165"/>
      <c r="AL165"/>
      <c r="AM165"/>
      <c r="AN165"/>
      <c r="AO165"/>
      <c r="AP165"/>
      <c r="AQ165"/>
      <c r="AR165"/>
      <c r="AS165"/>
      <c r="AT165"/>
      <c r="AU165" s="153"/>
      <c r="AV165"/>
      <c r="AW165"/>
      <c r="AX165"/>
      <c r="AY165"/>
      <c r="AZ165" s="153"/>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row>
    <row r="166" spans="3:92" x14ac:dyDescent="0.25">
      <c r="C166"/>
      <c r="D166"/>
      <c r="E166"/>
      <c r="F166"/>
      <c r="G166"/>
      <c r="H166"/>
      <c r="I166"/>
      <c r="J166"/>
      <c r="K166"/>
      <c r="L166"/>
      <c r="M166"/>
      <c r="N166"/>
      <c r="O166"/>
      <c r="P166"/>
      <c r="Q166"/>
      <c r="R166"/>
      <c r="S166"/>
      <c r="T166"/>
      <c r="U166"/>
      <c r="V166"/>
      <c r="W166"/>
      <c r="X166"/>
      <c r="Y166"/>
      <c r="Z166" s="153"/>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s="153"/>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row>
    <row r="167" spans="3:92" x14ac:dyDescent="0.25">
      <c r="C167"/>
      <c r="D167"/>
      <c r="E167"/>
      <c r="F167"/>
      <c r="G167"/>
      <c r="H167"/>
      <c r="I167"/>
      <c r="J167"/>
      <c r="K167"/>
      <c r="L167" s="153"/>
      <c r="M167"/>
      <c r="N167"/>
      <c r="O167"/>
      <c r="P167"/>
      <c r="Q167"/>
      <c r="R167"/>
      <c r="S167"/>
      <c r="T167"/>
      <c r="U167"/>
      <c r="V167"/>
      <c r="W167"/>
      <c r="X167"/>
      <c r="Y167"/>
      <c r="Z167"/>
      <c r="AA167" s="153"/>
      <c r="AB167"/>
      <c r="AC167" s="153"/>
      <c r="AD167"/>
      <c r="AE167"/>
      <c r="AF167"/>
      <c r="AG167"/>
      <c r="AH167"/>
      <c r="AI167"/>
      <c r="AJ167"/>
      <c r="AK167"/>
      <c r="AL167"/>
      <c r="AM167"/>
      <c r="AN167"/>
      <c r="AO167"/>
      <c r="AP167"/>
      <c r="AQ167"/>
      <c r="AR167"/>
      <c r="AS167"/>
      <c r="AT167"/>
      <c r="AU167" s="153"/>
      <c r="AV167"/>
      <c r="AW167"/>
      <c r="AX167"/>
      <c r="AY167"/>
      <c r="AZ167"/>
      <c r="BA167"/>
      <c r="BB167"/>
      <c r="BC167"/>
      <c r="BD167"/>
      <c r="BE167" s="153"/>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row>
    <row r="168" spans="3:92" x14ac:dyDescent="0.25">
      <c r="C168"/>
      <c r="D168"/>
      <c r="E168"/>
      <c r="F168"/>
      <c r="G168"/>
      <c r="H168"/>
      <c r="I168"/>
      <c r="J168"/>
      <c r="K168"/>
      <c r="L168"/>
      <c r="M168"/>
      <c r="N168"/>
      <c r="O168"/>
      <c r="P168"/>
      <c r="Q168" s="153"/>
      <c r="R168"/>
      <c r="S168"/>
      <c r="T168"/>
      <c r="U168"/>
      <c r="V168"/>
      <c r="W168"/>
      <c r="X168"/>
      <c r="Y168"/>
      <c r="Z168"/>
      <c r="AA168"/>
      <c r="AB168"/>
      <c r="AC168"/>
      <c r="AD168"/>
      <c r="AE168"/>
      <c r="AF168" s="153"/>
      <c r="AG168"/>
      <c r="AH168"/>
      <c r="AI168"/>
      <c r="AJ168"/>
      <c r="AK168"/>
      <c r="AL168"/>
      <c r="AM168"/>
      <c r="AN168"/>
      <c r="AO168"/>
      <c r="AP168"/>
      <c r="AQ168"/>
      <c r="AR168"/>
      <c r="AS168"/>
      <c r="AT168"/>
      <c r="AU168" s="153"/>
      <c r="AV168"/>
      <c r="AW168"/>
      <c r="AX168"/>
      <c r="AY168"/>
      <c r="AZ168" s="153"/>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row>
    <row r="169" spans="3:92" x14ac:dyDescent="0.25">
      <c r="C169"/>
      <c r="D169"/>
      <c r="E169"/>
      <c r="F169"/>
      <c r="G169"/>
      <c r="H169"/>
      <c r="I169"/>
      <c r="J169"/>
      <c r="K169"/>
      <c r="L169"/>
      <c r="M169"/>
      <c r="N169"/>
      <c r="O169"/>
      <c r="P169"/>
      <c r="Q169"/>
      <c r="R169"/>
      <c r="S169"/>
      <c r="T169"/>
      <c r="U169"/>
      <c r="V169" s="153"/>
      <c r="W169"/>
      <c r="X169"/>
      <c r="Y169"/>
      <c r="Z169"/>
      <c r="AA169"/>
      <c r="AB169"/>
      <c r="AC169"/>
      <c r="AD169"/>
      <c r="AE169"/>
      <c r="AF169" s="153"/>
      <c r="AG169"/>
      <c r="AH169"/>
      <c r="AI169"/>
      <c r="AJ169"/>
      <c r="AK169" s="153"/>
      <c r="AL169"/>
      <c r="AM169"/>
      <c r="AN169"/>
      <c r="AO169"/>
      <c r="AP169"/>
      <c r="AQ169"/>
      <c r="AR169"/>
      <c r="AS169"/>
      <c r="AT169"/>
      <c r="AU169"/>
      <c r="AV169"/>
      <c r="AW169"/>
      <c r="AX169"/>
      <c r="AY169"/>
      <c r="AZ169" s="153"/>
      <c r="BA169"/>
      <c r="BB169"/>
      <c r="BC169"/>
      <c r="BD169"/>
      <c r="BE169" s="153"/>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row>
    <row r="170" spans="3:92" x14ac:dyDescent="0.25">
      <c r="C170"/>
      <c r="D170"/>
      <c r="E170"/>
      <c r="F170"/>
      <c r="G170"/>
      <c r="H170"/>
      <c r="I170"/>
      <c r="J170"/>
      <c r="K170"/>
      <c r="L170"/>
      <c r="M170"/>
      <c r="N170"/>
      <c r="O170"/>
      <c r="P170"/>
      <c r="Q170"/>
      <c r="R170"/>
      <c r="S170"/>
      <c r="T170"/>
      <c r="U170"/>
      <c r="V170"/>
      <c r="W170"/>
      <c r="X170"/>
      <c r="Y170"/>
      <c r="Z170"/>
      <c r="AA170"/>
      <c r="AB170"/>
      <c r="AC170"/>
      <c r="AD170"/>
      <c r="AE170"/>
      <c r="AF170"/>
      <c r="AG170"/>
      <c r="AH170"/>
      <c r="AI170" s="153"/>
      <c r="AJ170"/>
      <c r="AK170"/>
      <c r="AL170"/>
      <c r="AM170"/>
      <c r="AN170"/>
      <c r="AO170"/>
      <c r="AP170" s="153"/>
      <c r="AQ170"/>
      <c r="AR170"/>
      <c r="AS170"/>
      <c r="AT170"/>
      <c r="AU170"/>
      <c r="AV170"/>
      <c r="AW170"/>
      <c r="AX170"/>
      <c r="AY170"/>
      <c r="AZ170"/>
      <c r="BA170"/>
      <c r="BB170"/>
      <c r="BC170"/>
      <c r="BD170"/>
      <c r="BE170" s="153"/>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row>
    <row r="171" spans="3:92" x14ac:dyDescent="0.25">
      <c r="C171"/>
      <c r="D171"/>
      <c r="E171"/>
      <c r="F171"/>
      <c r="G171"/>
      <c r="H171"/>
      <c r="I171"/>
      <c r="J171"/>
      <c r="K171"/>
      <c r="L171"/>
      <c r="M171"/>
      <c r="N171"/>
      <c r="O171"/>
      <c r="P171"/>
      <c r="Q171"/>
      <c r="R171"/>
      <c r="S171"/>
      <c r="T171"/>
      <c r="U171"/>
      <c r="V171" s="153"/>
      <c r="W171"/>
      <c r="X171"/>
      <c r="Y171"/>
      <c r="Z171"/>
      <c r="AA171"/>
      <c r="AB171"/>
      <c r="AC171"/>
      <c r="AD171"/>
      <c r="AE171"/>
      <c r="AF171"/>
      <c r="AG171"/>
      <c r="AH171"/>
      <c r="AI171" s="153"/>
      <c r="AJ171"/>
      <c r="AK171"/>
      <c r="AL171"/>
      <c r="AM171"/>
      <c r="AN171"/>
      <c r="AO171"/>
      <c r="AP171"/>
      <c r="AQ171"/>
      <c r="AR171"/>
      <c r="AS171"/>
      <c r="AT171"/>
      <c r="AU171"/>
      <c r="AV171"/>
      <c r="AW171"/>
      <c r="AX171"/>
      <c r="AY171"/>
      <c r="AZ171"/>
      <c r="BA171"/>
      <c r="BB171"/>
      <c r="BC171"/>
      <c r="BD171"/>
      <c r="BE171" s="153"/>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row>
    <row r="172" spans="3:92" x14ac:dyDescent="0.25">
      <c r="C172"/>
      <c r="D172"/>
      <c r="E172"/>
      <c r="F172"/>
      <c r="G172"/>
      <c r="H172"/>
      <c r="I172"/>
      <c r="J172"/>
      <c r="K172"/>
      <c r="L172"/>
      <c r="M172"/>
      <c r="N172"/>
      <c r="O172"/>
      <c r="P172"/>
      <c r="Q172"/>
      <c r="R172"/>
      <c r="S172"/>
      <c r="T172"/>
      <c r="U172"/>
      <c r="V172"/>
      <c r="W172"/>
      <c r="X172"/>
      <c r="Y172"/>
      <c r="Z172"/>
      <c r="AA172" s="153"/>
      <c r="AB172"/>
      <c r="AC172" s="153"/>
      <c r="AD172"/>
      <c r="AE172"/>
      <c r="AF172"/>
      <c r="AG172"/>
      <c r="AH172"/>
      <c r="AI172"/>
      <c r="AJ172"/>
      <c r="AK172"/>
      <c r="AL172"/>
      <c r="AM172"/>
      <c r="AN172"/>
      <c r="AO172"/>
      <c r="AP172" s="153"/>
      <c r="AQ172"/>
      <c r="AR172"/>
      <c r="AS172"/>
      <c r="AT172"/>
      <c r="AU172"/>
      <c r="AV172"/>
      <c r="AW172"/>
      <c r="AX172"/>
      <c r="AY172"/>
      <c r="AZ172" s="153"/>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row>
    <row r="173" spans="3:92" x14ac:dyDescent="0.25">
      <c r="C173"/>
      <c r="D173"/>
      <c r="E173"/>
      <c r="F173"/>
      <c r="G173"/>
      <c r="H173"/>
      <c r="I173"/>
      <c r="J173"/>
      <c r="K173"/>
      <c r="L173"/>
      <c r="M173"/>
      <c r="N173"/>
      <c r="O173"/>
      <c r="P173"/>
      <c r="Q173"/>
      <c r="R173"/>
      <c r="S173"/>
      <c r="T173"/>
      <c r="U173"/>
      <c r="V173"/>
      <c r="W173"/>
      <c r="X173"/>
      <c r="Y173"/>
      <c r="Z173"/>
      <c r="AA173"/>
      <c r="AB173"/>
      <c r="AC173"/>
      <c r="AD173"/>
      <c r="AE173"/>
      <c r="AF173" s="153"/>
      <c r="AG173"/>
      <c r="AH173"/>
      <c r="AI173"/>
      <c r="AJ173"/>
      <c r="AK173"/>
      <c r="AL173"/>
      <c r="AM173"/>
      <c r="AN173"/>
      <c r="AO173"/>
      <c r="AP173"/>
      <c r="AQ173"/>
      <c r="AR173"/>
      <c r="AS173"/>
      <c r="AT173"/>
      <c r="AU173" s="153"/>
      <c r="AV173"/>
      <c r="AW173"/>
      <c r="AX173"/>
      <c r="AY173"/>
      <c r="AZ173" s="153"/>
      <c r="BA173"/>
      <c r="BB173"/>
      <c r="BC173"/>
      <c r="BD173"/>
      <c r="BE173" s="15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row>
    <row r="174" spans="3:92" x14ac:dyDescent="0.25">
      <c r="C174"/>
      <c r="D174"/>
      <c r="E174"/>
      <c r="F174"/>
      <c r="G174"/>
      <c r="H174"/>
      <c r="I174"/>
      <c r="J174"/>
      <c r="K174"/>
      <c r="L174"/>
      <c r="M174"/>
      <c r="N174"/>
      <c r="O174"/>
      <c r="P174"/>
      <c r="Q174"/>
      <c r="R174"/>
      <c r="S174"/>
      <c r="T174"/>
      <c r="U174"/>
      <c r="V174"/>
      <c r="W174"/>
      <c r="X174"/>
      <c r="Y174"/>
      <c r="Z174"/>
      <c r="AA174" s="153"/>
      <c r="AB174"/>
      <c r="AC174"/>
      <c r="AD174"/>
      <c r="AE174"/>
      <c r="AF174"/>
      <c r="AG174"/>
      <c r="AH174"/>
      <c r="AI174" s="153"/>
      <c r="AJ174"/>
      <c r="AK174"/>
      <c r="AL174"/>
      <c r="AM174"/>
      <c r="AN174"/>
      <c r="AO174"/>
      <c r="AP174"/>
      <c r="AQ174"/>
      <c r="AR174"/>
      <c r="AS174"/>
      <c r="AT174"/>
      <c r="AU174"/>
      <c r="AV174"/>
      <c r="AW174"/>
      <c r="AX174"/>
      <c r="AY174"/>
      <c r="AZ174" s="153"/>
      <c r="BA174"/>
      <c r="BB174"/>
      <c r="BC174"/>
      <c r="BD174"/>
      <c r="BE174" s="153"/>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row>
    <row r="175" spans="3:92" x14ac:dyDescent="0.25">
      <c r="C175"/>
      <c r="D175"/>
      <c r="E175"/>
      <c r="F175"/>
      <c r="G175"/>
      <c r="H175"/>
      <c r="I175"/>
      <c r="J175"/>
      <c r="K175"/>
      <c r="L175"/>
      <c r="M175"/>
      <c r="N175"/>
      <c r="O175"/>
      <c r="P175"/>
      <c r="Q175"/>
      <c r="R175"/>
      <c r="S175"/>
      <c r="T175"/>
      <c r="U175"/>
      <c r="V175"/>
      <c r="W175"/>
      <c r="X175"/>
      <c r="Y175"/>
      <c r="Z175"/>
      <c r="AA175"/>
      <c r="AB175"/>
      <c r="AC175"/>
      <c r="AD175"/>
      <c r="AE175"/>
      <c r="AF175" s="153"/>
      <c r="AG175"/>
      <c r="AH175"/>
      <c r="AI175" s="153"/>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row>
    <row r="176" spans="3:92" x14ac:dyDescent="0.25">
      <c r="C176"/>
      <c r="D176"/>
      <c r="E176"/>
      <c r="F176"/>
      <c r="G176"/>
      <c r="H176"/>
      <c r="I176"/>
      <c r="J176"/>
      <c r="K176"/>
      <c r="L176"/>
      <c r="M176"/>
      <c r="N176"/>
      <c r="O176"/>
      <c r="P176"/>
      <c r="Q176"/>
      <c r="R176"/>
      <c r="S176"/>
      <c r="T176"/>
      <c r="U176"/>
      <c r="V176"/>
      <c r="W176"/>
      <c r="X176"/>
      <c r="Y176"/>
      <c r="Z176"/>
      <c r="AA176"/>
      <c r="AB176"/>
      <c r="AC176"/>
      <c r="AD176"/>
      <c r="AE176"/>
      <c r="AF176" s="153"/>
      <c r="AG176"/>
      <c r="AH176"/>
      <c r="AI176"/>
      <c r="AJ176"/>
      <c r="AK176" s="153"/>
      <c r="AL176"/>
      <c r="AM176"/>
      <c r="AN176"/>
      <c r="AO176"/>
      <c r="AP176"/>
      <c r="AQ176"/>
      <c r="AR176"/>
      <c r="AS176"/>
      <c r="AT176"/>
      <c r="AU176"/>
      <c r="AV176"/>
      <c r="AW176"/>
      <c r="AX176"/>
      <c r="AY176"/>
      <c r="AZ176" s="153"/>
      <c r="BA176"/>
      <c r="BB176"/>
      <c r="BC176"/>
      <c r="BD176"/>
      <c r="BE176" s="153"/>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row>
    <row r="177" spans="3:92" x14ac:dyDescent="0.25">
      <c r="C177"/>
      <c r="D177"/>
      <c r="E177"/>
      <c r="F177"/>
      <c r="G177"/>
      <c r="H177"/>
      <c r="I177"/>
      <c r="J177"/>
      <c r="K177"/>
      <c r="L177"/>
      <c r="M177"/>
      <c r="N177"/>
      <c r="O177"/>
      <c r="P177"/>
      <c r="Q177"/>
      <c r="R177"/>
      <c r="S177"/>
      <c r="T177"/>
      <c r="U177"/>
      <c r="V177"/>
      <c r="W177"/>
      <c r="X177"/>
      <c r="Y177"/>
      <c r="Z177"/>
      <c r="AA177"/>
      <c r="AB177"/>
      <c r="AC177"/>
      <c r="AD177"/>
      <c r="AE177"/>
      <c r="AF177"/>
      <c r="AG177"/>
      <c r="AH177"/>
      <c r="AI177" s="153"/>
      <c r="AJ177"/>
      <c r="AK177" s="153"/>
      <c r="AL177"/>
      <c r="AM177"/>
      <c r="AN177"/>
      <c r="AO177"/>
      <c r="AP177"/>
      <c r="AQ177"/>
      <c r="AR177"/>
      <c r="AS177"/>
      <c r="AT177"/>
      <c r="AU177"/>
      <c r="AV177"/>
      <c r="AW177"/>
      <c r="AX177"/>
      <c r="AY177"/>
      <c r="AZ177"/>
      <c r="BA177"/>
      <c r="BB177"/>
      <c r="BC177"/>
      <c r="BD177"/>
      <c r="BE177" s="153"/>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row>
    <row r="178" spans="3:92" x14ac:dyDescent="0.25">
      <c r="C178"/>
      <c r="D178"/>
      <c r="E178"/>
      <c r="F178"/>
      <c r="G178"/>
      <c r="H178"/>
      <c r="I178"/>
      <c r="J178"/>
      <c r="K178"/>
      <c r="L178"/>
      <c r="M178"/>
      <c r="N178"/>
      <c r="O178"/>
      <c r="P178"/>
      <c r="Q178"/>
      <c r="R178"/>
      <c r="S178"/>
      <c r="T178"/>
      <c r="U178"/>
      <c r="V178"/>
      <c r="W178"/>
      <c r="X178"/>
      <c r="Y178"/>
      <c r="Z178"/>
      <c r="AA178" s="153"/>
      <c r="AB178"/>
      <c r="AC178"/>
      <c r="AD178"/>
      <c r="AE178"/>
      <c r="AF178"/>
      <c r="AG178"/>
      <c r="AH178"/>
      <c r="AI178" s="153"/>
      <c r="AJ178"/>
      <c r="AK178" s="153"/>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row>
    <row r="179" spans="3:92" x14ac:dyDescent="0.25">
      <c r="C179"/>
      <c r="D179"/>
      <c r="E179"/>
      <c r="F179"/>
      <c r="G179"/>
      <c r="H179"/>
      <c r="I179"/>
      <c r="J179"/>
      <c r="K179"/>
      <c r="L179"/>
      <c r="M179"/>
      <c r="N179"/>
      <c r="O179"/>
      <c r="P179"/>
      <c r="Q179"/>
      <c r="R179"/>
      <c r="S179"/>
      <c r="T179" s="153"/>
      <c r="U179"/>
      <c r="V179"/>
      <c r="W179"/>
      <c r="X179"/>
      <c r="Y179"/>
      <c r="Z179"/>
      <c r="AA179"/>
      <c r="AB179"/>
      <c r="AC179"/>
      <c r="AD179"/>
      <c r="AE179"/>
      <c r="AF179" s="153"/>
      <c r="AG179"/>
      <c r="AH179"/>
      <c r="AI179"/>
      <c r="AJ179"/>
      <c r="AK179"/>
      <c r="AL179"/>
      <c r="AM179"/>
      <c r="AN179"/>
      <c r="AO179"/>
      <c r="AP179" s="153"/>
      <c r="AQ179"/>
      <c r="AR179"/>
      <c r="AS179"/>
      <c r="AT179"/>
      <c r="AU179"/>
      <c r="AV179"/>
      <c r="AW179"/>
      <c r="AX179"/>
      <c r="AY179"/>
      <c r="AZ179"/>
      <c r="BA179"/>
      <c r="BB179"/>
      <c r="BC179"/>
      <c r="BD179"/>
      <c r="BE179" s="153"/>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row>
    <row r="180" spans="3:92" x14ac:dyDescent="0.25">
      <c r="C180"/>
      <c r="D180"/>
      <c r="E180"/>
      <c r="F180"/>
      <c r="G180"/>
      <c r="H180"/>
      <c r="I180"/>
      <c r="J180"/>
      <c r="K180"/>
      <c r="L180"/>
      <c r="M180"/>
      <c r="N180"/>
      <c r="O180"/>
      <c r="P180"/>
      <c r="Q180"/>
      <c r="R180"/>
      <c r="S180"/>
      <c r="T180"/>
      <c r="U180"/>
      <c r="V180"/>
      <c r="W180" s="153"/>
      <c r="X180"/>
      <c r="Y180"/>
      <c r="Z180"/>
      <c r="AA180"/>
      <c r="AB180"/>
      <c r="AC180"/>
      <c r="AD180"/>
      <c r="AE180"/>
      <c r="AF180" s="153"/>
      <c r="AG180"/>
      <c r="AH180"/>
      <c r="AI180"/>
      <c r="AJ180"/>
      <c r="AK180" s="153"/>
      <c r="AL180"/>
      <c r="AM180"/>
      <c r="AN180"/>
      <c r="AO180"/>
      <c r="AP180"/>
      <c r="AQ180"/>
      <c r="AR180"/>
      <c r="AS180"/>
      <c r="AT180"/>
      <c r="AU180" s="153"/>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row>
    <row r="181" spans="3:92" x14ac:dyDescent="0.25">
      <c r="C181"/>
      <c r="D181"/>
      <c r="E181"/>
      <c r="F181"/>
      <c r="G181"/>
      <c r="H181"/>
      <c r="I181"/>
      <c r="J181"/>
      <c r="K181"/>
      <c r="L181"/>
      <c r="M181"/>
      <c r="N181"/>
      <c r="O181"/>
      <c r="P181"/>
      <c r="Q181"/>
      <c r="R181"/>
      <c r="S181"/>
      <c r="T181"/>
      <c r="U181"/>
      <c r="V181"/>
      <c r="W181" s="153"/>
      <c r="X181"/>
      <c r="Y181"/>
      <c r="Z181"/>
      <c r="AA181"/>
      <c r="AB181"/>
      <c r="AC181"/>
      <c r="AD181"/>
      <c r="AE181"/>
      <c r="AF181"/>
      <c r="AG181"/>
      <c r="AH181"/>
      <c r="AI181"/>
      <c r="AJ181"/>
      <c r="AK181" s="153"/>
      <c r="AL181"/>
      <c r="AM181"/>
      <c r="AN181"/>
      <c r="AO181"/>
      <c r="AP181" s="153"/>
      <c r="AQ181"/>
      <c r="AR181"/>
      <c r="AS181"/>
      <c r="AT181"/>
      <c r="AU181"/>
      <c r="AV181"/>
      <c r="AW181"/>
      <c r="AX181"/>
      <c r="AY181"/>
      <c r="AZ181" s="153"/>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row>
    <row r="182" spans="3:92" x14ac:dyDescent="0.25">
      <c r="C182"/>
      <c r="D182"/>
      <c r="E182"/>
      <c r="F182"/>
      <c r="G182"/>
      <c r="H182"/>
      <c r="I182"/>
      <c r="J182"/>
      <c r="K182"/>
      <c r="L182"/>
      <c r="M182"/>
      <c r="N182"/>
      <c r="O182"/>
      <c r="P182"/>
      <c r="Q182" s="153"/>
      <c r="R182"/>
      <c r="S182"/>
      <c r="T182"/>
      <c r="U182"/>
      <c r="V182"/>
      <c r="W182"/>
      <c r="X182"/>
      <c r="Y182"/>
      <c r="Z182"/>
      <c r="AA182"/>
      <c r="AB182"/>
      <c r="AC182"/>
      <c r="AD182"/>
      <c r="AE182"/>
      <c r="AF182"/>
      <c r="AG182"/>
      <c r="AH182"/>
      <c r="AI182"/>
      <c r="AJ182"/>
      <c r="AK182"/>
      <c r="AL182"/>
      <c r="AM182"/>
      <c r="AN182"/>
      <c r="AO182"/>
      <c r="AP182" s="153"/>
      <c r="AQ182"/>
      <c r="AR182"/>
      <c r="AS182"/>
      <c r="AT182"/>
      <c r="AU182" s="153"/>
      <c r="AV182"/>
      <c r="AW182"/>
      <c r="AX182"/>
      <c r="AY182"/>
      <c r="AZ182"/>
      <c r="BA182"/>
      <c r="BB182"/>
      <c r="BC182"/>
      <c r="BD182"/>
      <c r="BE182" s="153"/>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row>
    <row r="183" spans="3:92" x14ac:dyDescent="0.25">
      <c r="C183"/>
      <c r="D183"/>
      <c r="E183"/>
      <c r="F183"/>
      <c r="G183"/>
      <c r="H183"/>
      <c r="I183"/>
      <c r="J183"/>
      <c r="K183"/>
      <c r="L183"/>
      <c r="M183"/>
      <c r="N183"/>
      <c r="O183"/>
      <c r="P183"/>
      <c r="Q183"/>
      <c r="R183"/>
      <c r="S183"/>
      <c r="T183" s="153"/>
      <c r="U183"/>
      <c r="V183" s="153"/>
      <c r="W183"/>
      <c r="X183"/>
      <c r="Y183"/>
      <c r="Z183"/>
      <c r="AA183"/>
      <c r="AB183"/>
      <c r="AC183"/>
      <c r="AD183"/>
      <c r="AE183"/>
      <c r="AF183"/>
      <c r="AG183"/>
      <c r="AH183"/>
      <c r="AI183"/>
      <c r="AJ183"/>
      <c r="AK183"/>
      <c r="AL183"/>
      <c r="AM183"/>
      <c r="AN183"/>
      <c r="AO183"/>
      <c r="AP183" s="153"/>
      <c r="AQ183"/>
      <c r="AR183"/>
      <c r="AS183"/>
      <c r="AT183"/>
      <c r="AU183"/>
      <c r="AV183"/>
      <c r="AW183"/>
      <c r="AX183"/>
      <c r="AY183"/>
      <c r="AZ183" s="15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row>
    <row r="184" spans="3:92" x14ac:dyDescent="0.25">
      <c r="C184"/>
      <c r="D184"/>
      <c r="E184"/>
      <c r="F184"/>
      <c r="G184"/>
      <c r="H184"/>
      <c r="I184"/>
      <c r="J184"/>
      <c r="K184"/>
      <c r="L184"/>
      <c r="M184"/>
      <c r="N184"/>
      <c r="O184"/>
      <c r="P184"/>
      <c r="Q184"/>
      <c r="R184"/>
      <c r="S184"/>
      <c r="T184"/>
      <c r="U184"/>
      <c r="V184"/>
      <c r="W184" s="153"/>
      <c r="X184"/>
      <c r="Y184"/>
      <c r="Z184"/>
      <c r="AA184" s="153"/>
      <c r="AB184"/>
      <c r="AC184"/>
      <c r="AD184"/>
      <c r="AE184"/>
      <c r="AF184"/>
      <c r="AG184"/>
      <c r="AH184"/>
      <c r="AI184"/>
      <c r="AJ184"/>
      <c r="AK184"/>
      <c r="AL184"/>
      <c r="AM184"/>
      <c r="AN184"/>
      <c r="AO184"/>
      <c r="AP184"/>
      <c r="AQ184"/>
      <c r="AR184"/>
      <c r="AS184"/>
      <c r="AT184"/>
      <c r="AU184" s="153"/>
      <c r="AV184"/>
      <c r="AW184"/>
      <c r="AX184"/>
      <c r="AY184"/>
      <c r="AZ184"/>
      <c r="BA184"/>
      <c r="BB184"/>
      <c r="BC184"/>
      <c r="BD184"/>
      <c r="BE184" s="153"/>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row>
    <row r="185" spans="3:92" x14ac:dyDescent="0.25">
      <c r="C185"/>
      <c r="D185"/>
      <c r="E185"/>
      <c r="F185"/>
      <c r="G185"/>
      <c r="H185"/>
      <c r="I185"/>
      <c r="J185"/>
      <c r="K185"/>
      <c r="L185"/>
      <c r="M185"/>
      <c r="N185"/>
      <c r="O185"/>
      <c r="P185"/>
      <c r="Q185"/>
      <c r="R185"/>
      <c r="S185"/>
      <c r="T185"/>
      <c r="U185"/>
      <c r="V185"/>
      <c r="W185" s="153"/>
      <c r="X185"/>
      <c r="Y185"/>
      <c r="Z185"/>
      <c r="AA185"/>
      <c r="AB185"/>
      <c r="AC185"/>
      <c r="AD185"/>
      <c r="AE185"/>
      <c r="AF185"/>
      <c r="AG185"/>
      <c r="AH185"/>
      <c r="AI185"/>
      <c r="AJ185"/>
      <c r="AK185"/>
      <c r="AL185"/>
      <c r="AM185"/>
      <c r="AN185"/>
      <c r="AO185"/>
      <c r="AP185"/>
      <c r="AQ185"/>
      <c r="AR185"/>
      <c r="AS185"/>
      <c r="AT185"/>
      <c r="AU185"/>
      <c r="AV185"/>
      <c r="AW185"/>
      <c r="AX185"/>
      <c r="AY185"/>
      <c r="AZ185" s="153"/>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row>
    <row r="186" spans="3:92" x14ac:dyDescent="0.25">
      <c r="C186"/>
      <c r="D186"/>
      <c r="E186"/>
      <c r="F186"/>
      <c r="G186"/>
      <c r="H186"/>
      <c r="I186"/>
      <c r="J186"/>
      <c r="K186"/>
      <c r="L186"/>
      <c r="M186"/>
      <c r="N186"/>
      <c r="O186"/>
      <c r="P186"/>
      <c r="Q186"/>
      <c r="R186"/>
      <c r="S186"/>
      <c r="T186"/>
      <c r="U186"/>
      <c r="V186"/>
      <c r="W186"/>
      <c r="X186"/>
      <c r="Y186"/>
      <c r="Z186" s="153"/>
      <c r="AA186" s="153"/>
      <c r="AB186"/>
      <c r="AC186"/>
      <c r="AD186"/>
      <c r="AE186"/>
      <c r="AF186"/>
      <c r="AG186"/>
      <c r="AH186"/>
      <c r="AI186"/>
      <c r="AJ186"/>
      <c r="AK186" s="153"/>
      <c r="AL186"/>
      <c r="AM186"/>
      <c r="AN186"/>
      <c r="AO186"/>
      <c r="AP186"/>
      <c r="AQ186"/>
      <c r="AR186"/>
      <c r="AS186"/>
      <c r="AT186"/>
      <c r="AU186"/>
      <c r="AV186"/>
      <c r="AW186"/>
      <c r="AX186"/>
      <c r="AY186"/>
      <c r="AZ186" s="153"/>
      <c r="BA186"/>
      <c r="BB186"/>
      <c r="BC186"/>
      <c r="BD186"/>
      <c r="BE186" s="153"/>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row>
    <row r="187" spans="3:92" x14ac:dyDescent="0.25">
      <c r="C187"/>
      <c r="D187"/>
      <c r="E187"/>
      <c r="F187"/>
      <c r="G187"/>
      <c r="H187"/>
      <c r="I187"/>
      <c r="J187"/>
      <c r="K187"/>
      <c r="L187"/>
      <c r="M187"/>
      <c r="N187"/>
      <c r="O187"/>
      <c r="P187"/>
      <c r="Q187"/>
      <c r="R187"/>
      <c r="S187"/>
      <c r="T187"/>
      <c r="U187"/>
      <c r="V187"/>
      <c r="W187"/>
      <c r="X187"/>
      <c r="Y187"/>
      <c r="Z187" s="153"/>
      <c r="AA187"/>
      <c r="AB187"/>
      <c r="AC187"/>
      <c r="AD187"/>
      <c r="AE187"/>
      <c r="AF187" s="153"/>
      <c r="AG187"/>
      <c r="AH187"/>
      <c r="AI187"/>
      <c r="AJ187"/>
      <c r="AK187"/>
      <c r="AL187"/>
      <c r="AM187"/>
      <c r="AN187"/>
      <c r="AO187"/>
      <c r="AP187" s="153"/>
      <c r="AQ187"/>
      <c r="AR187"/>
      <c r="AS187"/>
      <c r="AT187"/>
      <c r="AU187"/>
      <c r="AV187"/>
      <c r="AW187"/>
      <c r="AX187"/>
      <c r="AY187"/>
      <c r="AZ187"/>
      <c r="BA187"/>
      <c r="BB187"/>
      <c r="BC187"/>
      <c r="BD187"/>
      <c r="BE187" s="153"/>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row>
    <row r="188" spans="3:92" x14ac:dyDescent="0.25">
      <c r="C188"/>
      <c r="D188"/>
      <c r="E188"/>
      <c r="F188"/>
      <c r="G188"/>
      <c r="H188"/>
      <c r="I188"/>
      <c r="J188"/>
      <c r="K188"/>
      <c r="L188"/>
      <c r="M188"/>
      <c r="N188"/>
      <c r="O188"/>
      <c r="P188"/>
      <c r="Q188"/>
      <c r="R188"/>
      <c r="S188"/>
      <c r="T188"/>
      <c r="U188"/>
      <c r="V188"/>
      <c r="W188"/>
      <c r="X188"/>
      <c r="Y188"/>
      <c r="Z188"/>
      <c r="AA188"/>
      <c r="AB188"/>
      <c r="AC188" s="153"/>
      <c r="AD188"/>
      <c r="AE188"/>
      <c r="AF188"/>
      <c r="AG188"/>
      <c r="AH188"/>
      <c r="AI188"/>
      <c r="AJ188"/>
      <c r="AK188" s="153"/>
      <c r="AL188"/>
      <c r="AM188"/>
      <c r="AN188"/>
      <c r="AO188"/>
      <c r="AP188"/>
      <c r="AQ188"/>
      <c r="AR188"/>
      <c r="AS188"/>
      <c r="AT188"/>
      <c r="AU188"/>
      <c r="AV188"/>
      <c r="AW188"/>
      <c r="AX188"/>
      <c r="AY188"/>
      <c r="AZ188"/>
      <c r="BA188"/>
      <c r="BB188"/>
      <c r="BC188"/>
      <c r="BD188"/>
      <c r="BE188" s="153"/>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row>
    <row r="189" spans="3:92" x14ac:dyDescent="0.25">
      <c r="C189"/>
      <c r="D189"/>
      <c r="E189"/>
      <c r="F189"/>
      <c r="G189"/>
      <c r="H189"/>
      <c r="I189"/>
      <c r="J189"/>
      <c r="K189"/>
      <c r="L189"/>
      <c r="M189"/>
      <c r="N189"/>
      <c r="O189"/>
      <c r="P189"/>
      <c r="Q189"/>
      <c r="R189"/>
      <c r="S189"/>
      <c r="T189"/>
      <c r="U189"/>
      <c r="V189"/>
      <c r="W189"/>
      <c r="X189"/>
      <c r="Y189"/>
      <c r="Z189"/>
      <c r="AA189"/>
      <c r="AB189"/>
      <c r="AC189"/>
      <c r="AD189"/>
      <c r="AE189"/>
      <c r="AF189" s="153"/>
      <c r="AG189"/>
      <c r="AH189"/>
      <c r="AI189"/>
      <c r="AJ189"/>
      <c r="AK189"/>
      <c r="AL189"/>
      <c r="AM189"/>
      <c r="AN189"/>
      <c r="AO189"/>
      <c r="AP189" s="153"/>
      <c r="AQ189"/>
      <c r="AR189"/>
      <c r="AS189"/>
      <c r="AT189"/>
      <c r="AU189" s="153"/>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row>
    <row r="190" spans="3:92" x14ac:dyDescent="0.25">
      <c r="C190"/>
      <c r="D190"/>
      <c r="E190"/>
      <c r="F190"/>
      <c r="G190"/>
      <c r="H190"/>
      <c r="I190"/>
      <c r="J190"/>
      <c r="K190"/>
      <c r="L190"/>
      <c r="M190"/>
      <c r="N190"/>
      <c r="O190"/>
      <c r="P190"/>
      <c r="Q190"/>
      <c r="R190"/>
      <c r="S190"/>
      <c r="T190"/>
      <c r="U190"/>
      <c r="V190"/>
      <c r="W190"/>
      <c r="X190"/>
      <c r="Y190"/>
      <c r="Z190"/>
      <c r="AA190"/>
      <c r="AB190"/>
      <c r="AC190"/>
      <c r="AD190"/>
      <c r="AE190"/>
      <c r="AF190" s="153"/>
      <c r="AG190"/>
      <c r="AH190"/>
      <c r="AI190"/>
      <c r="AJ190"/>
      <c r="AK190"/>
      <c r="AL190"/>
      <c r="AM190"/>
      <c r="AN190"/>
      <c r="AO190"/>
      <c r="AP190"/>
      <c r="AQ190"/>
      <c r="AR190"/>
      <c r="AS190"/>
      <c r="AT190"/>
      <c r="AU190" s="153"/>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row>
    <row r="191" spans="3:92" x14ac:dyDescent="0.25">
      <c r="C191"/>
      <c r="D191"/>
      <c r="E191"/>
      <c r="F191"/>
      <c r="G191"/>
      <c r="H191"/>
      <c r="I191"/>
      <c r="J191"/>
      <c r="K191"/>
      <c r="L191"/>
      <c r="M191"/>
      <c r="N191"/>
      <c r="O191"/>
      <c r="P191"/>
      <c r="Q191"/>
      <c r="R191"/>
      <c r="S191"/>
      <c r="T191"/>
      <c r="U191"/>
      <c r="V191" s="153"/>
      <c r="W191"/>
      <c r="X191"/>
      <c r="Y191"/>
      <c r="Z191"/>
      <c r="AA191"/>
      <c r="AB191"/>
      <c r="AC191"/>
      <c r="AD191"/>
      <c r="AE191"/>
      <c r="AF191"/>
      <c r="AG191"/>
      <c r="AH191"/>
      <c r="AI191" s="153"/>
      <c r="AJ191"/>
      <c r="AK191" s="153"/>
      <c r="AL191"/>
      <c r="AM191"/>
      <c r="AN191"/>
      <c r="AO191"/>
      <c r="AP191" s="153"/>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row>
    <row r="192" spans="3:92" x14ac:dyDescent="0.25">
      <c r="C192"/>
      <c r="D192"/>
      <c r="E192"/>
      <c r="F192"/>
      <c r="G192"/>
      <c r="H192"/>
      <c r="I192"/>
      <c r="J192"/>
      <c r="K192"/>
      <c r="L192"/>
      <c r="M192"/>
      <c r="N192"/>
      <c r="O192"/>
      <c r="P192"/>
      <c r="Q192"/>
      <c r="R192"/>
      <c r="S192"/>
      <c r="T192"/>
      <c r="U192"/>
      <c r="V192"/>
      <c r="W192"/>
      <c r="X192"/>
      <c r="Y192"/>
      <c r="Z192"/>
      <c r="AA192"/>
      <c r="AB192"/>
      <c r="AC192"/>
      <c r="AD192"/>
      <c r="AE192"/>
      <c r="AF192" s="153"/>
      <c r="AG192"/>
      <c r="AH192"/>
      <c r="AI192" s="153"/>
      <c r="AJ192"/>
      <c r="AK192" s="153"/>
      <c r="AL192"/>
      <c r="AM192"/>
      <c r="AN192"/>
      <c r="AO192"/>
      <c r="AP192"/>
      <c r="AQ192"/>
      <c r="AR192"/>
      <c r="AS192"/>
      <c r="AT192"/>
      <c r="AU192" s="153"/>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row>
    <row r="193" spans="3:92" x14ac:dyDescent="0.25">
      <c r="C193"/>
      <c r="D193"/>
      <c r="E193"/>
      <c r="F193"/>
      <c r="G193"/>
      <c r="H193"/>
      <c r="I193"/>
      <c r="J193"/>
      <c r="K193"/>
      <c r="L193"/>
      <c r="M193"/>
      <c r="N193"/>
      <c r="O193"/>
      <c r="P193"/>
      <c r="Q193"/>
      <c r="R193"/>
      <c r="S193"/>
      <c r="T193"/>
      <c r="U193"/>
      <c r="V193"/>
      <c r="W193"/>
      <c r="X193"/>
      <c r="Y193"/>
      <c r="Z193"/>
      <c r="AA193"/>
      <c r="AB193"/>
      <c r="AC193" s="153"/>
      <c r="AD193"/>
      <c r="AE193"/>
      <c r="AF193"/>
      <c r="AG193"/>
      <c r="AH193"/>
      <c r="AI193"/>
      <c r="AJ193"/>
      <c r="AK193"/>
      <c r="AL193"/>
      <c r="AM193"/>
      <c r="AN193"/>
      <c r="AO193"/>
      <c r="AP193" s="153"/>
      <c r="AQ193"/>
      <c r="AR193"/>
      <c r="AS193"/>
      <c r="AT193"/>
      <c r="AU193"/>
      <c r="AV193"/>
      <c r="AW193"/>
      <c r="AX193"/>
      <c r="AY193"/>
      <c r="AZ193" s="15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row>
    <row r="194" spans="3:92" x14ac:dyDescent="0.25">
      <c r="C194"/>
      <c r="D194"/>
      <c r="E194"/>
      <c r="F194"/>
      <c r="G194"/>
      <c r="H194"/>
      <c r="I194"/>
      <c r="J194"/>
      <c r="K194"/>
      <c r="L194"/>
      <c r="M194"/>
      <c r="N194"/>
      <c r="O194"/>
      <c r="P194"/>
      <c r="Q194" s="153"/>
      <c r="R194"/>
      <c r="S194"/>
      <c r="T194" s="153"/>
      <c r="U194"/>
      <c r="V194"/>
      <c r="W194"/>
      <c r="X194"/>
      <c r="Y194"/>
      <c r="Z194"/>
      <c r="AA194"/>
      <c r="AB194"/>
      <c r="AC194"/>
      <c r="AD194"/>
      <c r="AE194"/>
      <c r="AF194"/>
      <c r="AG194"/>
      <c r="AH194"/>
      <c r="AI194"/>
      <c r="AJ194"/>
      <c r="AK194"/>
      <c r="AL194"/>
      <c r="AM194"/>
      <c r="AN194"/>
      <c r="AO194"/>
      <c r="AP194"/>
      <c r="AQ194"/>
      <c r="AR194"/>
      <c r="AS194"/>
      <c r="AT194"/>
      <c r="AU194" s="153"/>
      <c r="AV194"/>
      <c r="AW194"/>
      <c r="AX194"/>
      <c r="AY194"/>
      <c r="AZ194"/>
      <c r="BA194"/>
      <c r="BB194"/>
      <c r="BC194"/>
      <c r="BD194"/>
      <c r="BE194" s="153"/>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row>
    <row r="195" spans="3:92" x14ac:dyDescent="0.25">
      <c r="C195"/>
      <c r="D195"/>
      <c r="E195"/>
      <c r="F195"/>
      <c r="G195"/>
      <c r="H195"/>
      <c r="I195"/>
      <c r="J195"/>
      <c r="K195"/>
      <c r="L195"/>
      <c r="M195"/>
      <c r="N195"/>
      <c r="O195"/>
      <c r="P195"/>
      <c r="Q195"/>
      <c r="R195"/>
      <c r="S195"/>
      <c r="T195"/>
      <c r="U195"/>
      <c r="V195" s="153"/>
      <c r="W195" s="153"/>
      <c r="X195"/>
      <c r="Y195"/>
      <c r="Z195"/>
      <c r="AA195"/>
      <c r="AB195"/>
      <c r="AC195"/>
      <c r="AD195"/>
      <c r="AE195"/>
      <c r="AF195"/>
      <c r="AG195"/>
      <c r="AH195"/>
      <c r="AI195"/>
      <c r="AJ195"/>
      <c r="AK195"/>
      <c r="AL195"/>
      <c r="AM195"/>
      <c r="AN195"/>
      <c r="AO195"/>
      <c r="AP195"/>
      <c r="AQ195"/>
      <c r="AR195"/>
      <c r="AS195"/>
      <c r="AT195"/>
      <c r="AU195"/>
      <c r="AV195"/>
      <c r="AW195"/>
      <c r="AX195"/>
      <c r="AY195"/>
      <c r="AZ195" s="153"/>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row>
    <row r="196" spans="3:92" x14ac:dyDescent="0.25">
      <c r="C196"/>
      <c r="D196"/>
      <c r="E196"/>
      <c r="F196"/>
      <c r="G196"/>
      <c r="H196"/>
      <c r="I196"/>
      <c r="J196"/>
      <c r="K196"/>
      <c r="L196"/>
      <c r="M196"/>
      <c r="N196"/>
      <c r="O196"/>
      <c r="P196"/>
      <c r="Q196"/>
      <c r="R196"/>
      <c r="S196"/>
      <c r="T196"/>
      <c r="U196"/>
      <c r="V196"/>
      <c r="W196" s="153"/>
      <c r="X196"/>
      <c r="Y196"/>
      <c r="Z196"/>
      <c r="AA196" s="153"/>
      <c r="AB196"/>
      <c r="AC196"/>
      <c r="AD196"/>
      <c r="AE196"/>
      <c r="AF196" s="153"/>
      <c r="AG196"/>
      <c r="AH196"/>
      <c r="AI196"/>
      <c r="AJ196"/>
      <c r="AK196"/>
      <c r="AL196"/>
      <c r="AM196"/>
      <c r="AN196"/>
      <c r="AO196"/>
      <c r="AP196"/>
      <c r="AQ196"/>
      <c r="AR196"/>
      <c r="AS196"/>
      <c r="AT196"/>
      <c r="AU196"/>
      <c r="AV196"/>
      <c r="AW196"/>
      <c r="AX196"/>
      <c r="AY196"/>
      <c r="AZ196"/>
      <c r="BA196"/>
      <c r="BB196"/>
      <c r="BC196"/>
      <c r="BD196"/>
      <c r="BE196" s="153"/>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row>
    <row r="197" spans="3:92" x14ac:dyDescent="0.25">
      <c r="C197"/>
      <c r="D197"/>
      <c r="E197"/>
      <c r="F197"/>
      <c r="G197"/>
      <c r="H197"/>
      <c r="I197"/>
      <c r="J197"/>
      <c r="K197"/>
      <c r="L197"/>
      <c r="M197"/>
      <c r="N197"/>
      <c r="O197"/>
      <c r="P197"/>
      <c r="Q197"/>
      <c r="R197"/>
      <c r="S197"/>
      <c r="T197"/>
      <c r="U197"/>
      <c r="V197" s="153"/>
      <c r="W197"/>
      <c r="X197"/>
      <c r="Y197"/>
      <c r="Z197" s="153"/>
      <c r="AA197"/>
      <c r="AB197"/>
      <c r="AC197"/>
      <c r="AD197"/>
      <c r="AE197"/>
      <c r="AF197" s="153"/>
      <c r="AG197"/>
      <c r="AH197"/>
      <c r="AI197"/>
      <c r="AJ197"/>
      <c r="AK197"/>
      <c r="AL197"/>
      <c r="AM197"/>
      <c r="AN197"/>
      <c r="AO197"/>
      <c r="AP197"/>
      <c r="AQ197"/>
      <c r="AR197"/>
      <c r="AS197"/>
      <c r="AT197"/>
      <c r="AU197"/>
      <c r="AV197"/>
      <c r="AW197"/>
      <c r="AX197"/>
      <c r="AY197"/>
      <c r="AZ197" s="153"/>
      <c r="BA197"/>
      <c r="BB197"/>
      <c r="BC197"/>
      <c r="BD197"/>
      <c r="BE197" s="153"/>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row>
    <row r="198" spans="3:92" x14ac:dyDescent="0.25">
      <c r="C198"/>
      <c r="D198"/>
      <c r="E198"/>
      <c r="F198"/>
      <c r="G198"/>
      <c r="H198"/>
      <c r="I198"/>
      <c r="J198"/>
      <c r="K198"/>
      <c r="L198"/>
      <c r="M198"/>
      <c r="N198"/>
      <c r="O198"/>
      <c r="P198"/>
      <c r="Q198"/>
      <c r="R198"/>
      <c r="S198"/>
      <c r="T198"/>
      <c r="U198"/>
      <c r="V198"/>
      <c r="W198"/>
      <c r="X198"/>
      <c r="Y198"/>
      <c r="Z198"/>
      <c r="AA198"/>
      <c r="AB198"/>
      <c r="AC198" s="153"/>
      <c r="AD198"/>
      <c r="AE198"/>
      <c r="AF198"/>
      <c r="AG198"/>
      <c r="AH198"/>
      <c r="AI198"/>
      <c r="AJ198"/>
      <c r="AK198"/>
      <c r="AL198"/>
      <c r="AM198"/>
      <c r="AN198"/>
      <c r="AO198"/>
      <c r="AP198"/>
      <c r="AQ198"/>
      <c r="AR198"/>
      <c r="AS198"/>
      <c r="AT198"/>
      <c r="AU198"/>
      <c r="AV198"/>
      <c r="AW198"/>
      <c r="AX198"/>
      <c r="AY198"/>
      <c r="AZ198" s="153"/>
      <c r="BA198"/>
      <c r="BB198"/>
      <c r="BC198"/>
      <c r="BD198"/>
      <c r="BE198" s="153"/>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row>
    <row r="199" spans="3:92" x14ac:dyDescent="0.25">
      <c r="C199"/>
      <c r="D199"/>
      <c r="E199"/>
      <c r="F199"/>
      <c r="G199"/>
      <c r="H199"/>
      <c r="I199"/>
      <c r="J199"/>
      <c r="K199"/>
      <c r="L199"/>
      <c r="M199"/>
      <c r="N199"/>
      <c r="O199"/>
      <c r="P199"/>
      <c r="Q199"/>
      <c r="R199"/>
      <c r="S199"/>
      <c r="T199"/>
      <c r="U199"/>
      <c r="V199"/>
      <c r="W199"/>
      <c r="X199"/>
      <c r="Y199"/>
      <c r="Z199"/>
      <c r="AA199"/>
      <c r="AB199"/>
      <c r="AC199"/>
      <c r="AD199"/>
      <c r="AE199"/>
      <c r="AF199" s="153"/>
      <c r="AG199"/>
      <c r="AH199"/>
      <c r="AI199"/>
      <c r="AJ199"/>
      <c r="AK199"/>
      <c r="AL199"/>
      <c r="AM199"/>
      <c r="AN199"/>
      <c r="AO199"/>
      <c r="AP199"/>
      <c r="AQ199"/>
      <c r="AR199"/>
      <c r="AS199"/>
      <c r="AT199"/>
      <c r="AU199"/>
      <c r="AV199"/>
      <c r="AW199"/>
      <c r="AX199"/>
      <c r="AY199"/>
      <c r="AZ199"/>
      <c r="BA199"/>
      <c r="BB199"/>
      <c r="BC199"/>
      <c r="BD199"/>
      <c r="BE199" s="153"/>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row>
    <row r="200" spans="3:92" x14ac:dyDescent="0.25">
      <c r="C200"/>
      <c r="D200"/>
      <c r="E200"/>
      <c r="F200"/>
      <c r="G200"/>
      <c r="H200"/>
      <c r="I200"/>
      <c r="J200"/>
      <c r="K200"/>
      <c r="L200"/>
      <c r="M200"/>
      <c r="N200"/>
      <c r="O200"/>
      <c r="P200"/>
      <c r="Q200"/>
      <c r="R200"/>
      <c r="S200"/>
      <c r="T200"/>
      <c r="U200"/>
      <c r="V200"/>
      <c r="W200"/>
      <c r="X200"/>
      <c r="Y200"/>
      <c r="Z200"/>
      <c r="AA200"/>
      <c r="AB200"/>
      <c r="AC200"/>
      <c r="AD200"/>
      <c r="AE200"/>
      <c r="AF200"/>
      <c r="AG200"/>
      <c r="AH200"/>
      <c r="AI200" s="153"/>
      <c r="AJ200"/>
      <c r="AK200" s="153"/>
      <c r="AL200"/>
      <c r="AM200"/>
      <c r="AN200"/>
      <c r="AO200"/>
      <c r="AP200"/>
      <c r="AQ200"/>
      <c r="AR200"/>
      <c r="AS200"/>
      <c r="AT200"/>
      <c r="AU200" s="153"/>
      <c r="AV200"/>
      <c r="AW200"/>
      <c r="AX200"/>
      <c r="AY200"/>
      <c r="AZ200"/>
      <c r="BA200"/>
      <c r="BB200"/>
      <c r="BC200"/>
      <c r="BD200"/>
      <c r="BE200" s="153"/>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row>
    <row r="201" spans="3:92" x14ac:dyDescent="0.25">
      <c r="C201"/>
      <c r="D201"/>
      <c r="E201"/>
      <c r="F201"/>
      <c r="G201"/>
      <c r="H201"/>
      <c r="I201"/>
      <c r="J201"/>
      <c r="K201"/>
      <c r="L201"/>
      <c r="M201"/>
      <c r="N201"/>
      <c r="O201"/>
      <c r="P201"/>
      <c r="Q201"/>
      <c r="R201"/>
      <c r="S201"/>
      <c r="T201"/>
      <c r="U201"/>
      <c r="V201"/>
      <c r="W201"/>
      <c r="X201"/>
      <c r="Y201"/>
      <c r="Z201"/>
      <c r="AA201"/>
      <c r="AB201"/>
      <c r="AC201"/>
      <c r="AD201"/>
      <c r="AE201"/>
      <c r="AF201" s="153"/>
      <c r="AG201"/>
      <c r="AH201"/>
      <c r="AI201" s="153"/>
      <c r="AJ201"/>
      <c r="AK201"/>
      <c r="AL201"/>
      <c r="AM201"/>
      <c r="AN201"/>
      <c r="AO201"/>
      <c r="AP201" s="153"/>
      <c r="AQ201"/>
      <c r="AR201"/>
      <c r="AS201"/>
      <c r="AT201"/>
      <c r="AU201" s="153"/>
      <c r="AV201"/>
      <c r="AW201"/>
      <c r="AX201"/>
      <c r="AY201"/>
      <c r="AZ201" s="153"/>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row>
    <row r="202" spans="3:92" x14ac:dyDescent="0.25">
      <c r="C202"/>
      <c r="D202"/>
      <c r="E202"/>
      <c r="F202"/>
      <c r="G202"/>
      <c r="H202"/>
      <c r="I202"/>
      <c r="J202"/>
      <c r="K202"/>
      <c r="L202"/>
      <c r="M202"/>
      <c r="N202"/>
      <c r="O202"/>
      <c r="P202"/>
      <c r="Q202"/>
      <c r="R202"/>
      <c r="S202"/>
      <c r="T202"/>
      <c r="U202"/>
      <c r="V202" s="153"/>
      <c r="W202"/>
      <c r="X202"/>
      <c r="Y202"/>
      <c r="Z202"/>
      <c r="AA202"/>
      <c r="AB202"/>
      <c r="AC202"/>
      <c r="AD202"/>
      <c r="AE202"/>
      <c r="AF202" s="153"/>
      <c r="AG202"/>
      <c r="AH202"/>
      <c r="AI202"/>
      <c r="AJ202"/>
      <c r="AK202"/>
      <c r="AL202"/>
      <c r="AM202"/>
      <c r="AN202"/>
      <c r="AO202"/>
      <c r="AP202" s="153"/>
      <c r="AQ202"/>
      <c r="AR202"/>
      <c r="AS202"/>
      <c r="AT202"/>
      <c r="AU202"/>
      <c r="AV202"/>
      <c r="AW202"/>
      <c r="AX202"/>
      <c r="AY202"/>
      <c r="AZ202"/>
      <c r="BA202"/>
      <c r="BB202"/>
      <c r="BC202"/>
      <c r="BD202"/>
      <c r="BE202" s="153"/>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row>
    <row r="203" spans="3:92" x14ac:dyDescent="0.25">
      <c r="C203"/>
      <c r="D203"/>
      <c r="E203"/>
      <c r="F203"/>
      <c r="G203"/>
      <c r="H203"/>
      <c r="I203"/>
      <c r="J203"/>
      <c r="K203"/>
      <c r="L203"/>
      <c r="M203"/>
      <c r="N203"/>
      <c r="O203"/>
      <c r="P203"/>
      <c r="Q203"/>
      <c r="R203"/>
      <c r="S203"/>
      <c r="T203"/>
      <c r="U203"/>
      <c r="V203"/>
      <c r="W203"/>
      <c r="X203"/>
      <c r="Y203"/>
      <c r="Z203"/>
      <c r="AA203" s="153"/>
      <c r="AB203"/>
      <c r="AC203"/>
      <c r="AD203"/>
      <c r="AE203"/>
      <c r="AF203"/>
      <c r="AG203"/>
      <c r="AH203"/>
      <c r="AI203" s="153"/>
      <c r="AJ203"/>
      <c r="AK203"/>
      <c r="AL203"/>
      <c r="AM203"/>
      <c r="AN203"/>
      <c r="AO203"/>
      <c r="AP203" s="153"/>
      <c r="AQ203"/>
      <c r="AR203"/>
      <c r="AS203"/>
      <c r="AT203"/>
      <c r="AU203" s="15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row>
    <row r="204" spans="3:92" x14ac:dyDescent="0.25">
      <c r="C204"/>
      <c r="D204"/>
      <c r="E204"/>
      <c r="F204"/>
      <c r="G204"/>
      <c r="H204"/>
      <c r="I204"/>
      <c r="J204"/>
      <c r="K204"/>
      <c r="L204"/>
      <c r="M204"/>
      <c r="N204"/>
      <c r="O204"/>
      <c r="P204"/>
      <c r="Q204"/>
      <c r="R204"/>
      <c r="S204"/>
      <c r="T204"/>
      <c r="U204"/>
      <c r="V204"/>
      <c r="W204"/>
      <c r="X204"/>
      <c r="Y204"/>
      <c r="Z204"/>
      <c r="AA204"/>
      <c r="AB204"/>
      <c r="AC204"/>
      <c r="AD204"/>
      <c r="AE204"/>
      <c r="AF204" s="153"/>
      <c r="AG204"/>
      <c r="AH204"/>
      <c r="AI204" s="153"/>
      <c r="AJ204"/>
      <c r="AK204"/>
      <c r="AL204"/>
      <c r="AM204"/>
      <c r="AN204"/>
      <c r="AO204"/>
      <c r="AP204"/>
      <c r="AQ204"/>
      <c r="AR204"/>
      <c r="AS204"/>
      <c r="AT204"/>
      <c r="AU204" s="153"/>
      <c r="AV204"/>
      <c r="AW204"/>
      <c r="AX204"/>
      <c r="AY204"/>
      <c r="AZ204" s="153"/>
      <c r="BA204"/>
      <c r="BB204"/>
      <c r="BC204"/>
      <c r="BD204"/>
      <c r="BE204" s="153"/>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row>
    <row r="205" spans="3:92" x14ac:dyDescent="0.25">
      <c r="C205"/>
      <c r="D205"/>
      <c r="E205"/>
      <c r="F205"/>
      <c r="G205"/>
      <c r="H205"/>
      <c r="I205"/>
      <c r="J205"/>
      <c r="K205"/>
      <c r="L205"/>
      <c r="M205"/>
      <c r="N205"/>
      <c r="O205"/>
      <c r="P205"/>
      <c r="Q205"/>
      <c r="R205"/>
      <c r="S205"/>
      <c r="T205"/>
      <c r="U205"/>
      <c r="V205"/>
      <c r="W205"/>
      <c r="X205"/>
      <c r="Y205"/>
      <c r="Z205"/>
      <c r="AA205"/>
      <c r="AB205"/>
      <c r="AC205" s="153"/>
      <c r="AD205"/>
      <c r="AE205"/>
      <c r="AF205"/>
      <c r="AG205"/>
      <c r="AH205"/>
      <c r="AI205"/>
      <c r="AJ205"/>
      <c r="AK205" s="153"/>
      <c r="AL205"/>
      <c r="AM205"/>
      <c r="AN205"/>
      <c r="AO205"/>
      <c r="AP205"/>
      <c r="AQ205"/>
      <c r="AR205"/>
      <c r="AS205"/>
      <c r="AT205"/>
      <c r="AU205"/>
      <c r="AV205"/>
      <c r="AW205"/>
      <c r="AX205"/>
      <c r="AY205"/>
      <c r="AZ205"/>
      <c r="BA205"/>
      <c r="BB205"/>
      <c r="BC205"/>
      <c r="BD205"/>
      <c r="BE205" s="153"/>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row>
    <row r="206" spans="3:92" x14ac:dyDescent="0.25">
      <c r="C206"/>
      <c r="D206"/>
      <c r="E206"/>
      <c r="F206"/>
      <c r="G206"/>
      <c r="H206"/>
      <c r="I206"/>
      <c r="J206"/>
      <c r="K206"/>
      <c r="L206"/>
      <c r="M206"/>
      <c r="N206"/>
      <c r="O206"/>
      <c r="P206"/>
      <c r="Q206"/>
      <c r="R206"/>
      <c r="S206"/>
      <c r="T206"/>
      <c r="U206"/>
      <c r="V206"/>
      <c r="W206"/>
      <c r="X206"/>
      <c r="Y206"/>
      <c r="Z206" s="153"/>
      <c r="AA206"/>
      <c r="AB206"/>
      <c r="AC206"/>
      <c r="AD206"/>
      <c r="AE206"/>
      <c r="AF206"/>
      <c r="AG206"/>
      <c r="AH206"/>
      <c r="AI206"/>
      <c r="AJ206"/>
      <c r="AK206"/>
      <c r="AL206"/>
      <c r="AM206"/>
      <c r="AN206"/>
      <c r="AO206"/>
      <c r="AP206" s="153"/>
      <c r="AQ206"/>
      <c r="AR206"/>
      <c r="AS206"/>
      <c r="AT206"/>
      <c r="AU206" s="153"/>
      <c r="AV206"/>
      <c r="AW206"/>
      <c r="AX206"/>
      <c r="AY206"/>
      <c r="AZ206" s="153"/>
      <c r="BA206"/>
      <c r="BB206"/>
      <c r="BC206"/>
      <c r="BD206"/>
      <c r="BE206" s="153"/>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row>
    <row r="207" spans="3:92" x14ac:dyDescent="0.25">
      <c r="C207"/>
      <c r="D207"/>
      <c r="E207"/>
      <c r="F207"/>
      <c r="G207"/>
      <c r="H207"/>
      <c r="I207"/>
      <c r="J207"/>
      <c r="K207"/>
      <c r="L207"/>
      <c r="M207"/>
      <c r="N207"/>
      <c r="O207"/>
      <c r="P207"/>
      <c r="Q207"/>
      <c r="R207"/>
      <c r="S207"/>
      <c r="T207"/>
      <c r="U207"/>
      <c r="V207"/>
      <c r="W207"/>
      <c r="X207"/>
      <c r="Y207"/>
      <c r="Z207"/>
      <c r="AA207"/>
      <c r="AB207"/>
      <c r="AC207" s="153"/>
      <c r="AD207"/>
      <c r="AE207"/>
      <c r="AF207"/>
      <c r="AG207"/>
      <c r="AH207"/>
      <c r="AI207"/>
      <c r="AJ207"/>
      <c r="AK207"/>
      <c r="AL207"/>
      <c r="AM207"/>
      <c r="AN207"/>
      <c r="AO207"/>
      <c r="AP207"/>
      <c r="AQ207"/>
      <c r="AR207"/>
      <c r="AS207"/>
      <c r="AT207"/>
      <c r="AU207"/>
      <c r="AV207"/>
      <c r="AW207"/>
      <c r="AX207"/>
      <c r="AY207"/>
      <c r="AZ207" s="153"/>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row>
    <row r="208" spans="3:92" x14ac:dyDescent="0.25">
      <c r="C208"/>
      <c r="D208"/>
      <c r="E208"/>
      <c r="F208"/>
      <c r="G208"/>
      <c r="H208"/>
      <c r="I208"/>
      <c r="J208"/>
      <c r="K208"/>
      <c r="L208"/>
      <c r="M208"/>
      <c r="N208"/>
      <c r="O208"/>
      <c r="P208"/>
      <c r="Q208"/>
      <c r="R208"/>
      <c r="S208"/>
      <c r="T208"/>
      <c r="U208"/>
      <c r="V208"/>
      <c r="W208"/>
      <c r="X208"/>
      <c r="Y208"/>
      <c r="Z208"/>
      <c r="AA208"/>
      <c r="AB208"/>
      <c r="AC208"/>
      <c r="AD208"/>
      <c r="AE208"/>
      <c r="AF208" s="153"/>
      <c r="AG208"/>
      <c r="AH208"/>
      <c r="AI208"/>
      <c r="AJ208"/>
      <c r="AK208" s="153"/>
      <c r="AL208"/>
      <c r="AM208"/>
      <c r="AN208"/>
      <c r="AO208"/>
      <c r="AP208" s="153"/>
      <c r="AQ208"/>
      <c r="AR208"/>
      <c r="AS208"/>
      <c r="AT208"/>
      <c r="AU208"/>
      <c r="AV208"/>
      <c r="AW208"/>
      <c r="AX208"/>
      <c r="AY208"/>
      <c r="AZ208"/>
      <c r="BA208"/>
      <c r="BB208"/>
      <c r="BC208"/>
      <c r="BD208"/>
      <c r="BE208" s="153"/>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row>
    <row r="209" spans="3:92" x14ac:dyDescent="0.25">
      <c r="C209"/>
      <c r="D209"/>
      <c r="E209"/>
      <c r="F209"/>
      <c r="G209"/>
      <c r="H209"/>
      <c r="I209"/>
      <c r="J209"/>
      <c r="K209"/>
      <c r="L209"/>
      <c r="M209"/>
      <c r="N209"/>
      <c r="O209"/>
      <c r="P209"/>
      <c r="Q209"/>
      <c r="R209"/>
      <c r="S209"/>
      <c r="T209"/>
      <c r="U209"/>
      <c r="V209"/>
      <c r="W209"/>
      <c r="X209"/>
      <c r="Y209"/>
      <c r="Z209"/>
      <c r="AA209"/>
      <c r="AB209"/>
      <c r="AC209"/>
      <c r="AD209"/>
      <c r="AE209"/>
      <c r="AF209"/>
      <c r="AG209"/>
      <c r="AH209"/>
      <c r="AI209" s="153"/>
      <c r="AJ209"/>
      <c r="AK209" s="153"/>
      <c r="AL209"/>
      <c r="AM209"/>
      <c r="AN209"/>
      <c r="AO209"/>
      <c r="AP209" s="153"/>
      <c r="AQ209"/>
      <c r="AR209"/>
      <c r="AS209"/>
      <c r="AT209"/>
      <c r="AU209"/>
      <c r="AV209"/>
      <c r="AW209"/>
      <c r="AX209"/>
      <c r="AY209"/>
      <c r="AZ209"/>
      <c r="BA209"/>
      <c r="BB209"/>
      <c r="BC209"/>
      <c r="BD209"/>
      <c r="BE209" s="153"/>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row>
    <row r="210" spans="3:92" x14ac:dyDescent="0.25">
      <c r="C210"/>
      <c r="D210"/>
      <c r="E210"/>
      <c r="F210"/>
      <c r="G210"/>
      <c r="H210"/>
      <c r="I210"/>
      <c r="J210"/>
      <c r="K210"/>
      <c r="L210"/>
      <c r="M210"/>
      <c r="N210"/>
      <c r="O210"/>
      <c r="P210"/>
      <c r="Q210"/>
      <c r="R210"/>
      <c r="S210"/>
      <c r="T210"/>
      <c r="U210"/>
      <c r="V210"/>
      <c r="W210"/>
      <c r="X210"/>
      <c r="Y210"/>
      <c r="Z210"/>
      <c r="AA210"/>
      <c r="AB210"/>
      <c r="AC210"/>
      <c r="AD210"/>
      <c r="AE210"/>
      <c r="AF210"/>
      <c r="AG210"/>
      <c r="AH210"/>
      <c r="AI210" s="153"/>
      <c r="AJ210"/>
      <c r="AK210"/>
      <c r="AL210"/>
      <c r="AM210"/>
      <c r="AN210"/>
      <c r="AO210"/>
      <c r="AP210" s="153"/>
      <c r="AQ210"/>
      <c r="AR210"/>
      <c r="AS210"/>
      <c r="AT210"/>
      <c r="AU210" s="153"/>
      <c r="AV210"/>
      <c r="AW210"/>
      <c r="AX210"/>
      <c r="AY210"/>
      <c r="AZ210"/>
      <c r="BA210"/>
      <c r="BB210"/>
      <c r="BC210"/>
      <c r="BD210"/>
      <c r="BE210" s="153"/>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row>
    <row r="211" spans="3:92" x14ac:dyDescent="0.25">
      <c r="C211"/>
      <c r="D211"/>
      <c r="E211"/>
      <c r="F211"/>
      <c r="G211"/>
      <c r="H211"/>
      <c r="I211"/>
      <c r="J211"/>
      <c r="K211"/>
      <c r="L211"/>
      <c r="M211"/>
      <c r="N211"/>
      <c r="O211"/>
      <c r="P211"/>
      <c r="Q211"/>
      <c r="R211"/>
      <c r="S211"/>
      <c r="T211"/>
      <c r="U211"/>
      <c r="V211"/>
      <c r="W211"/>
      <c r="X211"/>
      <c r="Y211"/>
      <c r="Z211"/>
      <c r="AA211"/>
      <c r="AB211"/>
      <c r="AC211"/>
      <c r="AD211"/>
      <c r="AE211"/>
      <c r="AF211" s="153"/>
      <c r="AG211"/>
      <c r="AH211"/>
      <c r="AI211"/>
      <c r="AJ211"/>
      <c r="AK211"/>
      <c r="AL211"/>
      <c r="AM211"/>
      <c r="AN211"/>
      <c r="AO211"/>
      <c r="AP211" s="153"/>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row>
    <row r="212" spans="3:92" x14ac:dyDescent="0.25">
      <c r="C212"/>
      <c r="D212"/>
      <c r="E212"/>
      <c r="F212"/>
      <c r="G212"/>
      <c r="H212"/>
      <c r="I212"/>
      <c r="J212"/>
      <c r="K212"/>
      <c r="L212"/>
      <c r="M212"/>
      <c r="N212"/>
      <c r="O212"/>
      <c r="P212"/>
      <c r="Q212"/>
      <c r="R212"/>
      <c r="S212"/>
      <c r="T212"/>
      <c r="U212"/>
      <c r="V212"/>
      <c r="W212"/>
      <c r="X212"/>
      <c r="Y212"/>
      <c r="Z212"/>
      <c r="AA212"/>
      <c r="AB212"/>
      <c r="AC212"/>
      <c r="AD212"/>
      <c r="AE212"/>
      <c r="AF212"/>
      <c r="AG212"/>
      <c r="AH212"/>
      <c r="AI212" s="153"/>
      <c r="AJ212"/>
      <c r="AK212"/>
      <c r="AL212"/>
      <c r="AM212"/>
      <c r="AN212"/>
      <c r="AO212"/>
      <c r="AP212" s="153"/>
      <c r="AQ212"/>
      <c r="AR212"/>
      <c r="AS212"/>
      <c r="AT212"/>
      <c r="AU212" s="153"/>
      <c r="AV212"/>
      <c r="AW212"/>
      <c r="AX212"/>
      <c r="AY212"/>
      <c r="AZ212" s="153"/>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row>
    <row r="213" spans="3:92" x14ac:dyDescent="0.25">
      <c r="C213"/>
      <c r="D213"/>
      <c r="E213"/>
      <c r="F213"/>
      <c r="G213"/>
      <c r="H213"/>
      <c r="I213"/>
      <c r="J213"/>
      <c r="K213"/>
      <c r="L213"/>
      <c r="M213"/>
      <c r="N213"/>
      <c r="O213"/>
      <c r="P213"/>
      <c r="Q213"/>
      <c r="R213"/>
      <c r="S213"/>
      <c r="T213"/>
      <c r="U213"/>
      <c r="V213"/>
      <c r="W213"/>
      <c r="X213"/>
      <c r="Y213"/>
      <c r="Z213"/>
      <c r="AA213"/>
      <c r="AB213"/>
      <c r="AC213"/>
      <c r="AD213"/>
      <c r="AE213"/>
      <c r="AF213"/>
      <c r="AG213"/>
      <c r="AH213"/>
      <c r="AI213" s="153"/>
      <c r="AJ213"/>
      <c r="AK213"/>
      <c r="AL213"/>
      <c r="AM213"/>
      <c r="AN213"/>
      <c r="AO213"/>
      <c r="AP213"/>
      <c r="AQ213"/>
      <c r="AR213"/>
      <c r="AS213"/>
      <c r="AT213"/>
      <c r="AU213" s="15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row>
    <row r="214" spans="3:92" x14ac:dyDescent="0.25">
      <c r="C214"/>
      <c r="D214"/>
      <c r="E214"/>
      <c r="F214"/>
      <c r="G214"/>
      <c r="H214"/>
      <c r="I214"/>
      <c r="J214"/>
      <c r="K214"/>
      <c r="L214"/>
      <c r="M214"/>
      <c r="N214"/>
      <c r="O214"/>
      <c r="P214"/>
      <c r="Q214"/>
      <c r="R214"/>
      <c r="S214"/>
      <c r="T214"/>
      <c r="U214"/>
      <c r="V214"/>
      <c r="W214"/>
      <c r="X214"/>
      <c r="Y214"/>
      <c r="Z214"/>
      <c r="AA214"/>
      <c r="AB214"/>
      <c r="AC214" s="153"/>
      <c r="AD214"/>
      <c r="AE214"/>
      <c r="AF214"/>
      <c r="AG214"/>
      <c r="AH214"/>
      <c r="AI214"/>
      <c r="AJ214"/>
      <c r="AK214" s="153"/>
      <c r="AL214"/>
      <c r="AM214"/>
      <c r="AN214"/>
      <c r="AO214"/>
      <c r="AP214"/>
      <c r="AQ214"/>
      <c r="AR214"/>
      <c r="AS214"/>
      <c r="AT214"/>
      <c r="AU214" s="153"/>
      <c r="AV214"/>
      <c r="AW214"/>
      <c r="AX214"/>
      <c r="AY214"/>
      <c r="AZ214" s="153"/>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row>
    <row r="215" spans="3:92" x14ac:dyDescent="0.2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s="153"/>
      <c r="AQ215"/>
      <c r="AR215"/>
      <c r="AS215"/>
      <c r="AT215"/>
      <c r="AU215"/>
      <c r="AV215"/>
      <c r="AW215"/>
      <c r="AX215"/>
      <c r="AY215"/>
      <c r="AZ215" s="153"/>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row>
    <row r="216" spans="3:92" x14ac:dyDescent="0.25">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s="153"/>
      <c r="AV216"/>
      <c r="AW216"/>
      <c r="AX216"/>
      <c r="AY216"/>
      <c r="AZ216" s="153"/>
      <c r="BA216"/>
      <c r="BB216"/>
      <c r="BC216"/>
      <c r="BD216"/>
      <c r="BE216" s="153"/>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row>
    <row r="217" spans="3:92" x14ac:dyDescent="0.25">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s="153"/>
      <c r="BA217"/>
      <c r="BB217"/>
      <c r="BC217"/>
      <c r="BD217"/>
      <c r="BE217" s="153"/>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row>
    <row r="218" spans="3:92" x14ac:dyDescent="0.25">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s="153"/>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row>
    <row r="219" spans="3:92" x14ac:dyDescent="0.25">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s="153"/>
      <c r="BA219"/>
      <c r="BB219"/>
      <c r="BC219"/>
      <c r="BD219"/>
      <c r="BE219" s="153"/>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row>
    <row r="220" spans="3:92" x14ac:dyDescent="0.25">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s="153"/>
      <c r="AV220"/>
      <c r="AW220"/>
      <c r="AX220"/>
      <c r="AY220"/>
      <c r="AZ220" s="153"/>
      <c r="BA220"/>
      <c r="BB220"/>
      <c r="BC220"/>
      <c r="BD220"/>
      <c r="BE220" s="153"/>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row>
    <row r="221" spans="3:92" x14ac:dyDescent="0.25">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s="153"/>
      <c r="BA221"/>
      <c r="BB221"/>
      <c r="BC221"/>
      <c r="BD221"/>
      <c r="BE221" s="153"/>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row>
    <row r="222" spans="3:92" x14ac:dyDescent="0.25">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s="153"/>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row>
    <row r="223" spans="3:92" x14ac:dyDescent="0.25">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s="15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row>
    <row r="224" spans="3:92" x14ac:dyDescent="0.25">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s="153"/>
      <c r="AV224"/>
      <c r="AW224"/>
      <c r="AX224"/>
      <c r="AY224"/>
      <c r="AZ224"/>
      <c r="BA224"/>
      <c r="BB224"/>
      <c r="BC224"/>
      <c r="BD224"/>
      <c r="BE224" s="153"/>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row>
    <row r="225" spans="3:92" x14ac:dyDescent="0.25">
      <c r="C225"/>
      <c r="D225"/>
      <c r="E225"/>
      <c r="F225"/>
      <c r="G225"/>
      <c r="H225"/>
      <c r="I225"/>
      <c r="J225"/>
      <c r="K225"/>
      <c r="L225"/>
      <c r="M225"/>
      <c r="N225"/>
      <c r="O225"/>
      <c r="P225"/>
      <c r="Q225"/>
      <c r="R225"/>
      <c r="S225"/>
      <c r="T225"/>
      <c r="U225"/>
      <c r="V225"/>
      <c r="W225"/>
      <c r="X225"/>
      <c r="Y225"/>
      <c r="Z225"/>
      <c r="AA225"/>
      <c r="AB225"/>
      <c r="AC225"/>
      <c r="AD225"/>
      <c r="AE225"/>
      <c r="AF225" s="153"/>
      <c r="AG225"/>
      <c r="AH225"/>
      <c r="AI225"/>
      <c r="AJ225"/>
      <c r="AK225"/>
      <c r="AL225"/>
      <c r="AM225"/>
      <c r="AN225"/>
      <c r="AO225"/>
      <c r="AP225"/>
      <c r="AQ225"/>
      <c r="AR225"/>
      <c r="AS225"/>
      <c r="AT225"/>
      <c r="AU225"/>
      <c r="AV225"/>
      <c r="AW225"/>
      <c r="AX225"/>
      <c r="AY225"/>
      <c r="AZ225" s="153"/>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row>
    <row r="226" spans="3:92" x14ac:dyDescent="0.25">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s="153"/>
      <c r="AQ226"/>
      <c r="AR226"/>
      <c r="AS226"/>
      <c r="AT226"/>
      <c r="AU226"/>
      <c r="AV226"/>
      <c r="AW226"/>
      <c r="AX226"/>
      <c r="AY226"/>
      <c r="AZ226"/>
      <c r="BA226"/>
      <c r="BB226"/>
      <c r="BC226"/>
      <c r="BD226"/>
      <c r="BE226" s="153"/>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row>
    <row r="227" spans="3:92" x14ac:dyDescent="0.25">
      <c r="C227"/>
      <c r="D227"/>
      <c r="E227"/>
      <c r="F227"/>
      <c r="G227"/>
      <c r="H227"/>
      <c r="I227"/>
      <c r="J227"/>
      <c r="K227"/>
      <c r="L227"/>
      <c r="M227"/>
      <c r="N227"/>
      <c r="O227"/>
      <c r="P227"/>
      <c r="Q227"/>
      <c r="R227"/>
      <c r="S227"/>
      <c r="T227"/>
      <c r="U227"/>
      <c r="V227" s="153"/>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row>
    <row r="228" spans="3:92" x14ac:dyDescent="0.25">
      <c r="C228"/>
      <c r="D228"/>
      <c r="E228"/>
      <c r="F228"/>
      <c r="G228"/>
      <c r="H228"/>
      <c r="I228"/>
      <c r="J228"/>
      <c r="K228"/>
      <c r="L228"/>
      <c r="M228"/>
      <c r="N228"/>
      <c r="O228"/>
      <c r="P228"/>
      <c r="Q228"/>
      <c r="R228"/>
      <c r="S228"/>
      <c r="T228"/>
      <c r="U228"/>
      <c r="V228"/>
      <c r="W228"/>
      <c r="X228"/>
      <c r="Y228"/>
      <c r="Z228"/>
      <c r="AA228" s="153"/>
      <c r="AB228"/>
      <c r="AC228"/>
      <c r="AD228"/>
      <c r="AE228"/>
      <c r="AF228"/>
      <c r="AG228"/>
      <c r="AH228"/>
      <c r="AI228"/>
      <c r="AJ228"/>
      <c r="AK228"/>
      <c r="AL228"/>
      <c r="AM228"/>
      <c r="AN228"/>
      <c r="AO228"/>
      <c r="AP228"/>
      <c r="AQ228"/>
      <c r="AR228"/>
      <c r="AS228"/>
      <c r="AT228"/>
      <c r="AU228"/>
      <c r="AV228"/>
      <c r="AW228"/>
      <c r="AX228"/>
      <c r="AY228"/>
      <c r="AZ228"/>
      <c r="BA228"/>
      <c r="BB228"/>
      <c r="BC228"/>
      <c r="BD228"/>
      <c r="BE228" s="153"/>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row>
    <row r="229" spans="3:92" x14ac:dyDescent="0.25">
      <c r="C229"/>
      <c r="D229"/>
      <c r="E229"/>
      <c r="F229"/>
      <c r="G229"/>
      <c r="H229"/>
      <c r="I229"/>
      <c r="J229"/>
      <c r="K229"/>
      <c r="L229"/>
      <c r="M229"/>
      <c r="N229"/>
      <c r="O229"/>
      <c r="P229"/>
      <c r="Q229"/>
      <c r="R229"/>
      <c r="S229"/>
      <c r="T229"/>
      <c r="U229"/>
      <c r="V229"/>
      <c r="W229"/>
      <c r="X229"/>
      <c r="Y229"/>
      <c r="Z229"/>
      <c r="AA229"/>
      <c r="AB229"/>
      <c r="AC229"/>
      <c r="AD229"/>
      <c r="AE229"/>
      <c r="AF229" s="153"/>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row>
    <row r="230" spans="3:92" x14ac:dyDescent="0.25">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s="153"/>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row>
    <row r="231" spans="3:92" x14ac:dyDescent="0.25">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s="153"/>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row>
    <row r="232" spans="3:92" x14ac:dyDescent="0.25">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s="153"/>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row>
    <row r="233" spans="3:92" x14ac:dyDescent="0.25">
      <c r="C233"/>
      <c r="D233"/>
      <c r="E233"/>
      <c r="F233"/>
      <c r="G233"/>
      <c r="H233"/>
      <c r="I233"/>
      <c r="J233"/>
      <c r="K233"/>
      <c r="L233"/>
      <c r="M233"/>
      <c r="N233"/>
      <c r="O233"/>
      <c r="P233"/>
      <c r="Q233"/>
      <c r="R233"/>
      <c r="S233"/>
      <c r="T233"/>
      <c r="U233"/>
      <c r="V233"/>
      <c r="W233"/>
      <c r="X233"/>
      <c r="Y233"/>
      <c r="Z233"/>
      <c r="AA233" s="153"/>
      <c r="AB233"/>
      <c r="AC233"/>
      <c r="AD233"/>
      <c r="AE233"/>
      <c r="AF233"/>
      <c r="AG233"/>
      <c r="AH233"/>
      <c r="AI233"/>
      <c r="AJ233"/>
      <c r="AK233"/>
      <c r="AL233"/>
      <c r="AM233"/>
      <c r="AN233"/>
      <c r="AO233"/>
      <c r="AP233" s="15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row>
    <row r="234" spans="3:92" x14ac:dyDescent="0.25">
      <c r="C234"/>
      <c r="D234"/>
      <c r="E234"/>
      <c r="F234"/>
      <c r="G234"/>
      <c r="H234"/>
      <c r="I234"/>
      <c r="J234"/>
      <c r="K234"/>
      <c r="L234"/>
      <c r="M234"/>
      <c r="N234"/>
      <c r="O234"/>
      <c r="P234"/>
      <c r="Q234"/>
      <c r="R234"/>
      <c r="S234"/>
      <c r="T234"/>
      <c r="U234"/>
      <c r="V234"/>
      <c r="W234"/>
      <c r="X234"/>
      <c r="Y234"/>
      <c r="Z234"/>
      <c r="AA234"/>
      <c r="AB234"/>
      <c r="AC234"/>
      <c r="AD234"/>
      <c r="AE234"/>
      <c r="AF234" s="153"/>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row>
    <row r="235" spans="3:92" x14ac:dyDescent="0.2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s="153"/>
      <c r="AL235"/>
      <c r="AM235"/>
      <c r="AN235"/>
      <c r="AO235"/>
      <c r="AP235" s="153"/>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row>
    <row r="236" spans="3:92" x14ac:dyDescent="0.25">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s="153"/>
      <c r="AQ236"/>
      <c r="AR236"/>
      <c r="AS236"/>
      <c r="AT236"/>
      <c r="AU236" s="153"/>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row>
    <row r="237" spans="3:92" x14ac:dyDescent="0.25">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s="153"/>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row>
    <row r="238" spans="3:92" x14ac:dyDescent="0.25">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s="153"/>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row>
    <row r="239" spans="3:92" x14ac:dyDescent="0.25">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s="153"/>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row>
    <row r="240" spans="3:92" x14ac:dyDescent="0.25">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s="153"/>
      <c r="AQ240"/>
      <c r="AR240"/>
      <c r="AS240"/>
      <c r="AT240"/>
      <c r="AU240"/>
      <c r="AV240"/>
      <c r="AW240"/>
      <c r="AX240"/>
      <c r="AY240"/>
      <c r="AZ240" s="153"/>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row>
    <row r="241" spans="3:92" x14ac:dyDescent="0.25">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s="153"/>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row>
    <row r="242" spans="3:92" x14ac:dyDescent="0.25">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s="153"/>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row>
    <row r="243" spans="3:92" x14ac:dyDescent="0.25">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s="15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row>
    <row r="244" spans="3:92" x14ac:dyDescent="0.25">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s="153"/>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row>
    <row r="245" spans="3:92" x14ac:dyDescent="0.2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s="153"/>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row>
    <row r="246" spans="3:92" x14ac:dyDescent="0.25">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row>
    <row r="247" spans="3:92" x14ac:dyDescent="0.25">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s="153"/>
      <c r="AV247"/>
      <c r="AW247"/>
      <c r="AX247"/>
      <c r="AY247"/>
      <c r="AZ247"/>
      <c r="BA247"/>
      <c r="BB247"/>
      <c r="BC247"/>
      <c r="BD247"/>
      <c r="BE247" s="153"/>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row>
    <row r="248" spans="3:92" x14ac:dyDescent="0.25">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s="153"/>
      <c r="AV248"/>
      <c r="AW248"/>
      <c r="AX248"/>
      <c r="AY248"/>
      <c r="AZ248" s="153"/>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row>
    <row r="249" spans="3:92" x14ac:dyDescent="0.25">
      <c r="C249"/>
      <c r="D249"/>
      <c r="E249"/>
      <c r="F249"/>
      <c r="G249"/>
      <c r="H249"/>
      <c r="I249"/>
      <c r="J249"/>
      <c r="K249"/>
      <c r="L249"/>
      <c r="M249"/>
      <c r="N249"/>
      <c r="O249"/>
      <c r="P249"/>
      <c r="Q249"/>
      <c r="R249"/>
      <c r="S249"/>
      <c r="T249"/>
      <c r="U249"/>
      <c r="V249"/>
      <c r="W249"/>
      <c r="X249"/>
      <c r="Y249"/>
      <c r="Z249"/>
      <c r="AA249"/>
      <c r="AB249"/>
      <c r="AC249"/>
      <c r="AD249"/>
      <c r="AE249"/>
      <c r="AF249" s="153"/>
      <c r="AG249"/>
      <c r="AH249"/>
      <c r="AI249"/>
      <c r="AJ249"/>
      <c r="AK249"/>
      <c r="AL249"/>
      <c r="AM249"/>
      <c r="AN249"/>
      <c r="AO249"/>
      <c r="AP249"/>
      <c r="AQ249"/>
      <c r="AR249"/>
      <c r="AS249"/>
      <c r="AT249"/>
      <c r="AU249"/>
      <c r="AV249"/>
      <c r="AW249"/>
      <c r="AX249"/>
      <c r="AY249"/>
      <c r="AZ249"/>
      <c r="BA249"/>
      <c r="BB249"/>
      <c r="BC249"/>
      <c r="BD249"/>
      <c r="BE249" s="153"/>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row>
    <row r="250" spans="3:92" x14ac:dyDescent="0.25">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s="153"/>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row>
    <row r="251" spans="3:92" x14ac:dyDescent="0.25">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s="153"/>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row>
    <row r="252" spans="3:92" x14ac:dyDescent="0.25">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s="153"/>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row>
    <row r="253" spans="3:92" x14ac:dyDescent="0.25">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s="153"/>
      <c r="AQ253"/>
      <c r="AR253"/>
      <c r="AS253"/>
      <c r="AT253"/>
      <c r="AU253"/>
      <c r="AV253"/>
      <c r="AW253"/>
      <c r="AX253"/>
      <c r="AY253"/>
      <c r="AZ253" s="1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row>
    <row r="254" spans="3:92" x14ac:dyDescent="0.25">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s="153"/>
      <c r="AV254"/>
      <c r="AW254"/>
      <c r="AX254"/>
      <c r="AY254"/>
      <c r="AZ254"/>
      <c r="BA254"/>
      <c r="BB254"/>
      <c r="BC254"/>
      <c r="BD254"/>
      <c r="BE254" s="153"/>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row>
    <row r="255" spans="3:92" x14ac:dyDescent="0.2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s="153"/>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row>
    <row r="256" spans="3:92" x14ac:dyDescent="0.25">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s="153"/>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row>
    <row r="257" spans="3:92" x14ac:dyDescent="0.25">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row>
    <row r="258" spans="3:92" x14ac:dyDescent="0.25">
      <c r="C258"/>
      <c r="D258"/>
      <c r="E258"/>
      <c r="F258"/>
      <c r="G258"/>
      <c r="H258"/>
      <c r="I258"/>
      <c r="J258"/>
      <c r="K258"/>
      <c r="L258"/>
      <c r="M258"/>
      <c r="N258"/>
      <c r="O258"/>
      <c r="P258"/>
      <c r="Q258"/>
      <c r="R258"/>
      <c r="S258"/>
      <c r="T258"/>
      <c r="U258"/>
      <c r="V258"/>
      <c r="W258"/>
      <c r="X258"/>
      <c r="Y258"/>
      <c r="Z258"/>
      <c r="AA258"/>
      <c r="AB258"/>
      <c r="AC258"/>
      <c r="AD258"/>
      <c r="AE258"/>
      <c r="AF258" s="153"/>
      <c r="AG258"/>
      <c r="AH258"/>
      <c r="AI258"/>
      <c r="AJ258"/>
      <c r="AK258"/>
      <c r="AL258"/>
      <c r="AM258"/>
      <c r="AN258"/>
      <c r="AO258"/>
      <c r="AP258"/>
      <c r="AQ258"/>
      <c r="AR258"/>
      <c r="AS258"/>
      <c r="AT258"/>
      <c r="AU258"/>
      <c r="AV258"/>
      <c r="AW258"/>
      <c r="AX258"/>
      <c r="AY258"/>
      <c r="AZ258"/>
      <c r="BA258"/>
      <c r="BB258"/>
      <c r="BC258"/>
      <c r="BD258"/>
      <c r="BE258" s="153"/>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row>
    <row r="259" spans="3:92" x14ac:dyDescent="0.25">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s="153"/>
      <c r="AL259"/>
      <c r="AM259"/>
      <c r="AN259"/>
      <c r="AO259"/>
      <c r="AP259"/>
      <c r="AQ259"/>
      <c r="AR259"/>
      <c r="AS259"/>
      <c r="AT259"/>
      <c r="AU259"/>
      <c r="AV259"/>
      <c r="AW259"/>
      <c r="AX259"/>
      <c r="AY259"/>
      <c r="AZ259" s="153"/>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row>
    <row r="260" spans="3:92" x14ac:dyDescent="0.25">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s="153"/>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row>
    <row r="261" spans="3:92" x14ac:dyDescent="0.25">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s="153"/>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row>
    <row r="262" spans="3:92" x14ac:dyDescent="0.25">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s="153"/>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row>
    <row r="263" spans="3:92" x14ac:dyDescent="0.25">
      <c r="C263"/>
      <c r="D263"/>
      <c r="E263"/>
      <c r="F263"/>
      <c r="G263"/>
      <c r="H263"/>
      <c r="I263"/>
      <c r="J263"/>
      <c r="K263"/>
      <c r="L263"/>
      <c r="M263"/>
      <c r="N263"/>
      <c r="O263"/>
      <c r="P263"/>
      <c r="Q263"/>
      <c r="R263"/>
      <c r="S263"/>
      <c r="T263"/>
      <c r="U263"/>
      <c r="V263"/>
      <c r="W263"/>
      <c r="X263"/>
      <c r="Y263"/>
      <c r="Z263"/>
      <c r="AA263" s="153"/>
      <c r="AB263"/>
      <c r="AC263"/>
      <c r="AD263"/>
      <c r="AE263"/>
      <c r="AF263"/>
      <c r="AG263"/>
      <c r="AH263"/>
      <c r="AI263"/>
      <c r="AJ263"/>
      <c r="AK263"/>
      <c r="AL263"/>
      <c r="AM263"/>
      <c r="AN263"/>
      <c r="AO263"/>
      <c r="AP263"/>
      <c r="AQ263"/>
      <c r="AR263"/>
      <c r="AS263"/>
      <c r="AT263"/>
      <c r="AU263" s="15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row>
    <row r="264" spans="3:92" x14ac:dyDescent="0.25">
      <c r="C264"/>
      <c r="D264"/>
      <c r="E264"/>
      <c r="F264"/>
      <c r="G264"/>
      <c r="H264"/>
      <c r="I264"/>
      <c r="J264"/>
      <c r="K264"/>
      <c r="L264"/>
      <c r="M264"/>
      <c r="N264"/>
      <c r="O264"/>
      <c r="P264"/>
      <c r="Q264"/>
      <c r="R264"/>
      <c r="S264"/>
      <c r="T264"/>
      <c r="U264"/>
      <c r="V264"/>
      <c r="W264"/>
      <c r="X264"/>
      <c r="Y264"/>
      <c r="Z264"/>
      <c r="AA264"/>
      <c r="AB264"/>
      <c r="AC264"/>
      <c r="AD264"/>
      <c r="AE264"/>
      <c r="AF264" s="153"/>
      <c r="AG264"/>
      <c r="AH264"/>
      <c r="AI264"/>
      <c r="AJ264"/>
      <c r="AK264"/>
      <c r="AL264"/>
      <c r="AM264"/>
      <c r="AN264"/>
      <c r="AO264"/>
      <c r="AP264" s="153"/>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row>
    <row r="265" spans="3:92" x14ac:dyDescent="0.2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s="153"/>
      <c r="AL265"/>
      <c r="AM265"/>
      <c r="AN265"/>
      <c r="AO265"/>
      <c r="AP265"/>
      <c r="AQ265"/>
      <c r="AR265"/>
      <c r="AS265"/>
      <c r="AT265"/>
      <c r="AU265" s="153"/>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row>
    <row r="266" spans="3:92" x14ac:dyDescent="0.25">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s="153"/>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row>
    <row r="267" spans="3:92" x14ac:dyDescent="0.25">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s="153"/>
      <c r="AL267"/>
      <c r="AM267"/>
      <c r="AN267"/>
      <c r="AO267"/>
      <c r="AP267"/>
      <c r="AQ267"/>
      <c r="AR267"/>
      <c r="AS267"/>
      <c r="AT267"/>
      <c r="AU267"/>
      <c r="AV267"/>
      <c r="AW267"/>
      <c r="AX267"/>
      <c r="AY267"/>
      <c r="AZ267"/>
      <c r="BA267"/>
      <c r="BB267"/>
      <c r="BC267"/>
      <c r="BD267"/>
      <c r="BE267" s="153"/>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row>
    <row r="268" spans="3:92" x14ac:dyDescent="0.25">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s="153"/>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row>
    <row r="269" spans="3:92" x14ac:dyDescent="0.25">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s="153"/>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row>
    <row r="270" spans="3:92" x14ac:dyDescent="0.25">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s="153"/>
      <c r="AQ270"/>
      <c r="AR270"/>
      <c r="AS270"/>
      <c r="AT270"/>
      <c r="AU270"/>
      <c r="AV270"/>
      <c r="AW270"/>
      <c r="AX270"/>
      <c r="AY270"/>
      <c r="AZ270" s="153"/>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row>
    <row r="271" spans="3:92" x14ac:dyDescent="0.25">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s="153"/>
      <c r="AV271"/>
      <c r="AW271"/>
      <c r="AX271"/>
      <c r="AY271"/>
      <c r="AZ271"/>
      <c r="BA271"/>
      <c r="BB271"/>
      <c r="BC271"/>
      <c r="BD271"/>
      <c r="BE271" s="153"/>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row>
    <row r="272" spans="3:92" x14ac:dyDescent="0.25">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s="153"/>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row>
    <row r="273" spans="3:92" x14ac:dyDescent="0.25">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s="15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row>
    <row r="274" spans="3:92" x14ac:dyDescent="0.25">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s="153"/>
      <c r="AV274"/>
      <c r="AW274"/>
      <c r="AX274"/>
      <c r="AY274"/>
      <c r="AZ274" s="153"/>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row>
    <row r="275" spans="3:92" x14ac:dyDescent="0.2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s="153"/>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row>
    <row r="276" spans="3:92" x14ac:dyDescent="0.25">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row>
    <row r="277" spans="3:92" x14ac:dyDescent="0.25">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s="153"/>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row>
    <row r="278" spans="3:92" x14ac:dyDescent="0.25">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row>
    <row r="279" spans="3:92" x14ac:dyDescent="0.25">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s="153"/>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row>
    <row r="280" spans="3:92" x14ac:dyDescent="0.25">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row>
    <row r="281" spans="3:92" x14ac:dyDescent="0.25">
      <c r="C281"/>
      <c r="D281"/>
      <c r="E281"/>
      <c r="F281"/>
      <c r="G281"/>
      <c r="H281"/>
      <c r="I281"/>
      <c r="J281"/>
      <c r="K281"/>
      <c r="L281"/>
      <c r="M281"/>
      <c r="N281"/>
      <c r="O281"/>
      <c r="P281"/>
      <c r="Q281"/>
      <c r="R281"/>
      <c r="S281"/>
      <c r="T281"/>
      <c r="U281"/>
      <c r="V281"/>
      <c r="W281"/>
      <c r="X281"/>
      <c r="Y281"/>
      <c r="Z281"/>
      <c r="AA281"/>
      <c r="AB281"/>
      <c r="AC281"/>
      <c r="AD281"/>
      <c r="AE281"/>
      <c r="AF281" s="153"/>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row>
    <row r="282" spans="3:92" x14ac:dyDescent="0.25">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s="153"/>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row>
    <row r="283" spans="3:92" x14ac:dyDescent="0.25">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row>
    <row r="284" spans="3:92" x14ac:dyDescent="0.25">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s="153"/>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row>
    <row r="285" spans="3:92" x14ac:dyDescent="0.2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s="153"/>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row>
    <row r="286" spans="3:92" x14ac:dyDescent="0.25">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s="153"/>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row>
    <row r="287" spans="3:92" x14ac:dyDescent="0.25">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s="153"/>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row>
    <row r="288" spans="3:92" x14ac:dyDescent="0.25">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s="153"/>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row>
    <row r="289" spans="3:92" x14ac:dyDescent="0.25">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row>
    <row r="290" spans="3:92" x14ac:dyDescent="0.25">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s="153"/>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row>
    <row r="291" spans="3:92" x14ac:dyDescent="0.25">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row>
    <row r="292" spans="3:92" x14ac:dyDescent="0.25">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s="153"/>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row>
    <row r="293" spans="3:92" x14ac:dyDescent="0.25">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s="15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row>
    <row r="294" spans="3:92" x14ac:dyDescent="0.25">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row>
    <row r="295" spans="3:92" x14ac:dyDescent="0.2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s="153"/>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row>
    <row r="296" spans="3:92" x14ac:dyDescent="0.25">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row>
    <row r="297" spans="3:92" x14ac:dyDescent="0.25">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s="153"/>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row>
    <row r="298" spans="3:92" x14ac:dyDescent="0.25">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row>
    <row r="299" spans="3:92" x14ac:dyDescent="0.25">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s="153"/>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row>
    <row r="300" spans="3:92" x14ac:dyDescent="0.25">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s="153"/>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row>
    <row r="301" spans="3:92" x14ac:dyDescent="0.25">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s="153"/>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row>
    <row r="302" spans="3:92" x14ac:dyDescent="0.25">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s="153"/>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row>
    <row r="303" spans="3:92" x14ac:dyDescent="0.25">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row>
    <row r="304" spans="3:92" x14ac:dyDescent="0.25">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s="153"/>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row>
    <row r="305" spans="3:92" x14ac:dyDescent="0.2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row>
    <row r="306" spans="3:92" x14ac:dyDescent="0.25">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s="153"/>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row>
    <row r="307" spans="3:92" x14ac:dyDescent="0.25">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s="153"/>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row>
    <row r="308" spans="3:92" x14ac:dyDescent="0.25">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row>
    <row r="309" spans="3:92" x14ac:dyDescent="0.25">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s="153"/>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row>
    <row r="310" spans="3:92" x14ac:dyDescent="0.25">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row>
    <row r="311" spans="3:92" x14ac:dyDescent="0.25">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s="153"/>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row>
  </sheetData>
  <sheetProtection sheet="1" objects="1" scenarios="1"/>
  <dataConsolidate/>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Case"/>
  <dimension ref="G1:G601"/>
  <sheetViews>
    <sheetView showGridLines="0" showRowColHeaders="0" zoomScaleNormal="100" workbookViewId="0">
      <pane xSplit="7" ySplit="5" topLeftCell="H12" activePane="bottomRight" state="frozenSplit"/>
      <selection pane="topRight" activeCell="F1" sqref="F1"/>
      <selection pane="bottomLeft" activeCell="A6" sqref="A6"/>
      <selection pane="bottomRight" activeCell="F6" sqref="F6:F31"/>
    </sheetView>
  </sheetViews>
  <sheetFormatPr defaultColWidth="8.85546875" defaultRowHeight="15" x14ac:dyDescent="0.25"/>
  <cols>
    <col min="1" max="1" width="8.85546875" style="48" customWidth="1"/>
    <col min="2" max="2" width="10.7109375" style="48" customWidth="1"/>
    <col min="3" max="3" width="10.5703125" style="48" bestFit="1" customWidth="1"/>
    <col min="4" max="4" width="13.7109375" style="48" bestFit="1" customWidth="1"/>
    <col min="5" max="5" width="11" style="48" bestFit="1" customWidth="1"/>
    <col min="6" max="6" width="14" style="48" bestFit="1" customWidth="1"/>
    <col min="7" max="7" width="20.140625" style="69" bestFit="1" customWidth="1"/>
    <col min="8" max="8" width="11.85546875" style="48" bestFit="1" customWidth="1"/>
    <col min="9" max="9" width="20" style="48" bestFit="1" customWidth="1"/>
    <col min="10" max="10" width="32.140625" style="48" bestFit="1" customWidth="1"/>
    <col min="11" max="11" width="25.28515625" style="48" bestFit="1" customWidth="1"/>
    <col min="12" max="12" width="13.7109375" style="48" bestFit="1" customWidth="1"/>
    <col min="13" max="14" width="11" style="48" bestFit="1" customWidth="1"/>
    <col min="15" max="15" width="10.5703125" style="48" bestFit="1" customWidth="1"/>
    <col min="16" max="16" width="8.28515625" style="48" bestFit="1" customWidth="1"/>
    <col min="17" max="17" width="13.7109375" style="48" bestFit="1" customWidth="1"/>
    <col min="18" max="22" width="12.140625" style="48" bestFit="1" customWidth="1"/>
    <col min="23" max="23" width="11.42578125" style="48" bestFit="1" customWidth="1"/>
    <col min="24" max="24" width="12.42578125" style="48" customWidth="1"/>
    <col min="25" max="25" width="13.7109375" style="48" customWidth="1"/>
    <col min="26" max="26" width="24.42578125" style="48" bestFit="1" customWidth="1"/>
    <col min="27" max="27" width="39.28515625" style="48" bestFit="1" customWidth="1"/>
    <col min="28" max="28" width="17.28515625" style="48" bestFit="1" customWidth="1"/>
    <col min="29" max="29" width="22" style="48" bestFit="1" customWidth="1"/>
    <col min="30" max="30" width="36.42578125" style="48" bestFit="1" customWidth="1"/>
    <col min="31" max="31" width="15.140625" style="48" bestFit="1" customWidth="1"/>
    <col min="32" max="32" width="23" style="48" bestFit="1" customWidth="1"/>
    <col min="33" max="33" width="28.28515625" style="48" bestFit="1" customWidth="1"/>
    <col min="34" max="34" width="22.42578125" style="48" bestFit="1" customWidth="1"/>
    <col min="35" max="35" width="16.7109375" style="48" bestFit="1" customWidth="1"/>
    <col min="36" max="36" width="47" style="48" bestFit="1" customWidth="1"/>
    <col min="37" max="37" width="15.28515625" style="48" bestFit="1" customWidth="1"/>
    <col min="38" max="38" width="11.140625" style="48" bestFit="1" customWidth="1"/>
    <col min="39" max="39" width="34.42578125" style="48" bestFit="1" customWidth="1"/>
    <col min="40" max="41" width="13.7109375" style="48" bestFit="1" customWidth="1"/>
    <col min="42" max="43" width="12.42578125" style="48" customWidth="1"/>
    <col min="44" max="44" width="13.42578125" style="48" bestFit="1" customWidth="1"/>
    <col min="45" max="45" width="10.7109375" style="48" bestFit="1" customWidth="1"/>
    <col min="46" max="48" width="11.7109375" style="48" bestFit="1" customWidth="1"/>
    <col min="49" max="57" width="10.7109375" style="48" bestFit="1" customWidth="1"/>
    <col min="58" max="63" width="11.7109375" style="48" bestFit="1" customWidth="1"/>
    <col min="64" max="72" width="12.7109375" style="48" bestFit="1" customWidth="1"/>
    <col min="73" max="78" width="13.7109375" style="48" bestFit="1" customWidth="1"/>
    <col min="79" max="87" width="12.7109375" style="48" bestFit="1" customWidth="1"/>
    <col min="88" max="93" width="13.7109375" style="48" bestFit="1" customWidth="1"/>
    <col min="94" max="102" width="10.7109375" style="48" bestFit="1" customWidth="1"/>
    <col min="103" max="108" width="11.7109375" style="48" bestFit="1" customWidth="1"/>
    <col min="109" max="117" width="10.7109375" style="48" bestFit="1" customWidth="1"/>
    <col min="118" max="126" width="11.7109375" style="48" bestFit="1" customWidth="1"/>
    <col min="127" max="127" width="13.7109375" style="48" bestFit="1" customWidth="1"/>
    <col min="128" max="16384" width="8.85546875" style="48"/>
  </cols>
  <sheetData>
    <row r="1" spans="7:7" s="46" customFormat="1" ht="60" customHeight="1" x14ac:dyDescent="0.25">
      <c r="G1" s="74"/>
    </row>
    <row r="2" spans="7:7" s="47" customFormat="1" ht="24.95" customHeight="1" x14ac:dyDescent="0.25">
      <c r="G2" s="75"/>
    </row>
    <row r="5" spans="7:7" x14ac:dyDescent="0.25">
      <c r="G5" s="48"/>
    </row>
    <row r="6" spans="7:7" x14ac:dyDescent="0.25">
      <c r="G6" s="48"/>
    </row>
    <row r="7" spans="7:7" x14ac:dyDescent="0.25">
      <c r="G7" s="48"/>
    </row>
    <row r="8" spans="7:7" x14ac:dyDescent="0.25">
      <c r="G8" s="48"/>
    </row>
    <row r="9" spans="7:7" x14ac:dyDescent="0.25">
      <c r="G9" s="48"/>
    </row>
    <row r="10" spans="7:7" x14ac:dyDescent="0.25">
      <c r="G10" s="48"/>
    </row>
    <row r="11" spans="7:7" x14ac:dyDescent="0.25">
      <c r="G11" s="48"/>
    </row>
    <row r="12" spans="7:7" x14ac:dyDescent="0.25">
      <c r="G12" s="48"/>
    </row>
    <row r="13" spans="7:7" x14ac:dyDescent="0.25">
      <c r="G13" s="48"/>
    </row>
    <row r="14" spans="7:7" x14ac:dyDescent="0.25">
      <c r="G14" s="48"/>
    </row>
    <row r="15" spans="7:7" x14ac:dyDescent="0.25">
      <c r="G15" s="48"/>
    </row>
    <row r="16" spans="7:7" x14ac:dyDescent="0.25">
      <c r="G16" s="48"/>
    </row>
    <row r="17" s="48" customFormat="1" x14ac:dyDescent="0.25"/>
    <row r="18" s="48" customFormat="1" x14ac:dyDescent="0.25"/>
    <row r="19" s="48" customFormat="1" x14ac:dyDescent="0.25"/>
    <row r="20" s="48" customFormat="1" x14ac:dyDescent="0.25"/>
    <row r="21" s="48" customFormat="1" x14ac:dyDescent="0.25"/>
    <row r="22" s="48" customFormat="1" x14ac:dyDescent="0.25"/>
    <row r="23" s="48" customFormat="1" x14ac:dyDescent="0.25"/>
    <row r="24" s="48" customFormat="1" x14ac:dyDescent="0.25"/>
    <row r="25" s="48" customFormat="1" x14ac:dyDescent="0.25"/>
    <row r="26" s="48" customFormat="1" x14ac:dyDescent="0.25"/>
    <row r="27" s="48" customFormat="1" x14ac:dyDescent="0.25"/>
    <row r="28" s="48" customFormat="1" x14ac:dyDescent="0.25"/>
    <row r="29" s="48" customFormat="1" x14ac:dyDescent="0.25"/>
    <row r="30" s="48" customFormat="1" x14ac:dyDescent="0.25"/>
    <row r="31" s="48" customFormat="1" x14ac:dyDescent="0.25"/>
    <row r="32" s="48" customFormat="1" x14ac:dyDescent="0.25"/>
    <row r="33" s="48" customFormat="1" x14ac:dyDescent="0.25"/>
    <row r="34" s="48" customFormat="1" x14ac:dyDescent="0.25"/>
    <row r="35" s="48" customFormat="1" x14ac:dyDescent="0.25"/>
    <row r="36" s="48" customFormat="1" x14ac:dyDescent="0.25"/>
    <row r="37" s="48" customFormat="1" x14ac:dyDescent="0.25"/>
    <row r="38" s="48" customFormat="1" x14ac:dyDescent="0.25"/>
    <row r="39" s="48" customFormat="1" x14ac:dyDescent="0.25"/>
    <row r="40" s="48" customFormat="1" x14ac:dyDescent="0.25"/>
    <row r="41" s="48" customFormat="1" x14ac:dyDescent="0.25"/>
    <row r="42" s="48" customFormat="1" x14ac:dyDescent="0.25"/>
    <row r="43" s="48" customFormat="1" x14ac:dyDescent="0.25"/>
    <row r="44" s="48" customFormat="1" x14ac:dyDescent="0.25"/>
    <row r="45" s="48" customFormat="1" x14ac:dyDescent="0.25"/>
    <row r="46" s="48" customFormat="1" x14ac:dyDescent="0.25"/>
    <row r="47" s="48" customFormat="1" x14ac:dyDescent="0.25"/>
    <row r="48" s="48" customFormat="1" x14ac:dyDescent="0.25"/>
    <row r="49" s="48" customFormat="1" x14ac:dyDescent="0.25"/>
    <row r="50" s="48" customFormat="1" x14ac:dyDescent="0.25"/>
    <row r="51" s="48" customFormat="1" x14ac:dyDescent="0.25"/>
    <row r="52" s="48" customFormat="1" x14ac:dyDescent="0.25"/>
    <row r="53" s="48" customFormat="1" x14ac:dyDescent="0.25"/>
    <row r="54" s="48" customFormat="1" x14ac:dyDescent="0.25"/>
    <row r="55" s="48" customFormat="1" x14ac:dyDescent="0.25"/>
    <row r="56" s="48" customFormat="1" x14ac:dyDescent="0.25"/>
    <row r="57" s="48" customFormat="1" x14ac:dyDescent="0.25"/>
    <row r="58" s="48" customFormat="1" x14ac:dyDescent="0.25"/>
    <row r="59" s="48" customFormat="1" x14ac:dyDescent="0.25"/>
    <row r="60" s="48" customFormat="1" x14ac:dyDescent="0.25"/>
    <row r="61" s="48" customFormat="1" x14ac:dyDescent="0.25"/>
    <row r="62" s="48" customFormat="1" x14ac:dyDescent="0.25"/>
    <row r="63" s="48" customFormat="1" x14ac:dyDescent="0.25"/>
    <row r="64" s="48" customFormat="1" x14ac:dyDescent="0.25"/>
    <row r="65" s="48" customFormat="1" x14ac:dyDescent="0.25"/>
    <row r="66" s="48" customFormat="1" x14ac:dyDescent="0.25"/>
    <row r="67" s="48" customFormat="1" x14ac:dyDescent="0.25"/>
    <row r="68" s="48" customFormat="1" x14ac:dyDescent="0.25"/>
    <row r="69" s="48" customFormat="1" x14ac:dyDescent="0.25"/>
    <row r="70" s="48" customFormat="1" x14ac:dyDescent="0.25"/>
    <row r="71" s="48" customFormat="1" x14ac:dyDescent="0.25"/>
    <row r="72" s="48" customFormat="1" x14ac:dyDescent="0.25"/>
    <row r="73" s="48" customFormat="1" x14ac:dyDescent="0.25"/>
    <row r="74" s="48" customFormat="1" x14ac:dyDescent="0.25"/>
    <row r="75" s="48" customFormat="1" x14ac:dyDescent="0.25"/>
    <row r="76" s="48" customFormat="1" x14ac:dyDescent="0.25"/>
    <row r="77" s="48" customFormat="1" x14ac:dyDescent="0.25"/>
    <row r="78" s="48" customFormat="1" x14ac:dyDescent="0.25"/>
    <row r="79" s="48" customFormat="1" x14ac:dyDescent="0.25"/>
    <row r="80" s="48" customFormat="1" x14ac:dyDescent="0.25"/>
    <row r="81" s="48" customFormat="1" x14ac:dyDescent="0.25"/>
    <row r="82" s="48" customFormat="1" x14ac:dyDescent="0.25"/>
    <row r="83" s="48" customFormat="1" x14ac:dyDescent="0.25"/>
    <row r="84" s="48" customFormat="1" x14ac:dyDescent="0.25"/>
    <row r="85" s="48" customFormat="1" x14ac:dyDescent="0.25"/>
    <row r="86" s="48" customFormat="1" x14ac:dyDescent="0.25"/>
    <row r="87" s="48" customFormat="1" x14ac:dyDescent="0.25"/>
    <row r="88" s="48" customFormat="1" x14ac:dyDescent="0.25"/>
    <row r="89" s="48" customFormat="1" x14ac:dyDescent="0.25"/>
    <row r="90" s="48" customFormat="1" x14ac:dyDescent="0.25"/>
    <row r="91" s="48" customFormat="1" x14ac:dyDescent="0.25"/>
    <row r="92" s="48" customFormat="1" x14ac:dyDescent="0.25"/>
    <row r="93" s="48" customFormat="1" x14ac:dyDescent="0.25"/>
    <row r="94" s="48" customFormat="1" x14ac:dyDescent="0.25"/>
    <row r="95" s="48" customFormat="1" x14ac:dyDescent="0.25"/>
    <row r="96" s="48" customFormat="1" x14ac:dyDescent="0.25"/>
    <row r="97" s="48" customFormat="1" x14ac:dyDescent="0.25"/>
    <row r="98" s="48" customFormat="1" x14ac:dyDescent="0.25"/>
    <row r="99" s="48" customFormat="1" x14ac:dyDescent="0.25"/>
    <row r="100" s="48" customFormat="1" x14ac:dyDescent="0.25"/>
    <row r="101" s="48" customFormat="1" x14ac:dyDescent="0.25"/>
    <row r="102" s="48" customFormat="1" x14ac:dyDescent="0.25"/>
    <row r="103" s="48" customFormat="1" x14ac:dyDescent="0.25"/>
    <row r="104" s="48" customFormat="1" x14ac:dyDescent="0.25"/>
    <row r="105" s="48" customFormat="1" x14ac:dyDescent="0.25"/>
    <row r="106" s="48" customFormat="1" x14ac:dyDescent="0.25"/>
    <row r="107" s="48" customFormat="1" x14ac:dyDescent="0.25"/>
    <row r="108" s="48" customFormat="1" x14ac:dyDescent="0.25"/>
    <row r="109" s="48" customFormat="1" x14ac:dyDescent="0.25"/>
    <row r="110" s="48" customFormat="1" x14ac:dyDescent="0.25"/>
    <row r="111" s="48" customFormat="1" x14ac:dyDescent="0.25"/>
    <row r="112" s="48" customFormat="1" x14ac:dyDescent="0.25"/>
    <row r="113" s="48" customFormat="1" x14ac:dyDescent="0.25"/>
    <row r="114" s="48" customFormat="1" x14ac:dyDescent="0.25"/>
    <row r="115" s="48" customFormat="1" x14ac:dyDescent="0.25"/>
    <row r="116" s="48" customFormat="1" x14ac:dyDescent="0.25"/>
    <row r="117" s="48" customFormat="1" x14ac:dyDescent="0.25"/>
    <row r="118" s="48" customFormat="1" x14ac:dyDescent="0.25"/>
    <row r="119" s="48" customFormat="1" x14ac:dyDescent="0.25"/>
    <row r="120" s="48" customFormat="1" x14ac:dyDescent="0.25"/>
    <row r="121" s="48" customFormat="1" x14ac:dyDescent="0.25"/>
    <row r="122" s="48" customFormat="1" x14ac:dyDescent="0.25"/>
    <row r="123" s="48" customFormat="1" x14ac:dyDescent="0.25"/>
    <row r="124" s="48" customFormat="1" x14ac:dyDescent="0.25"/>
    <row r="125" s="48" customFormat="1" x14ac:dyDescent="0.25"/>
    <row r="126" s="48" customFormat="1" x14ac:dyDescent="0.25"/>
    <row r="127" s="48" customFormat="1" x14ac:dyDescent="0.25"/>
    <row r="128" s="48" customFormat="1" x14ac:dyDescent="0.25"/>
    <row r="129" s="48" customFormat="1" x14ac:dyDescent="0.25"/>
    <row r="130" s="48" customFormat="1" x14ac:dyDescent="0.25"/>
    <row r="131" s="48" customFormat="1" x14ac:dyDescent="0.25"/>
    <row r="132" s="48" customFormat="1" x14ac:dyDescent="0.25"/>
    <row r="133" s="48" customFormat="1" x14ac:dyDescent="0.25"/>
    <row r="134" s="48" customFormat="1" x14ac:dyDescent="0.25"/>
    <row r="135" s="48" customFormat="1" x14ac:dyDescent="0.25"/>
    <row r="136" s="48" customFormat="1" x14ac:dyDescent="0.25"/>
    <row r="137" s="48" customFormat="1" x14ac:dyDescent="0.25"/>
    <row r="138" s="48" customFormat="1" x14ac:dyDescent="0.25"/>
    <row r="139" s="48" customFormat="1" x14ac:dyDescent="0.25"/>
    <row r="140" s="48" customFormat="1" x14ac:dyDescent="0.25"/>
    <row r="141" s="48" customFormat="1" x14ac:dyDescent="0.25"/>
    <row r="142" s="48" customFormat="1" x14ac:dyDescent="0.25"/>
    <row r="143" s="48" customFormat="1" x14ac:dyDescent="0.25"/>
    <row r="144" s="48" customFormat="1" x14ac:dyDescent="0.25"/>
    <row r="145" s="48" customFormat="1" x14ac:dyDescent="0.25"/>
    <row r="146" s="48" customFormat="1" x14ac:dyDescent="0.25"/>
    <row r="147" s="48" customFormat="1" x14ac:dyDescent="0.25"/>
    <row r="148" s="48" customFormat="1" x14ac:dyDescent="0.25"/>
    <row r="149" s="48" customFormat="1" x14ac:dyDescent="0.25"/>
    <row r="150" s="48" customFormat="1" x14ac:dyDescent="0.25"/>
    <row r="151" s="48" customFormat="1" x14ac:dyDescent="0.25"/>
    <row r="152" s="48" customFormat="1" x14ac:dyDescent="0.25"/>
    <row r="153" s="48" customFormat="1" x14ac:dyDescent="0.25"/>
    <row r="154" s="48" customFormat="1" x14ac:dyDescent="0.25"/>
    <row r="155" s="48" customFormat="1" x14ac:dyDescent="0.25"/>
    <row r="156" s="48" customFormat="1" x14ac:dyDescent="0.25"/>
    <row r="157" s="48" customFormat="1" x14ac:dyDescent="0.25"/>
    <row r="158" s="48" customFormat="1" x14ac:dyDescent="0.25"/>
    <row r="159" s="48" customFormat="1" x14ac:dyDescent="0.25"/>
    <row r="160" s="48" customFormat="1" x14ac:dyDescent="0.25"/>
    <row r="161" s="48" customFormat="1" x14ac:dyDescent="0.25"/>
    <row r="162" s="48" customFormat="1" x14ac:dyDescent="0.25"/>
    <row r="163" s="48" customFormat="1" x14ac:dyDescent="0.25"/>
    <row r="164" s="48" customFormat="1" x14ac:dyDescent="0.25"/>
    <row r="165" s="48" customFormat="1" x14ac:dyDescent="0.25"/>
    <row r="166" s="48" customFormat="1" x14ac:dyDescent="0.25"/>
    <row r="167" s="48" customFormat="1" x14ac:dyDescent="0.25"/>
    <row r="168" s="48" customFormat="1" x14ac:dyDescent="0.25"/>
    <row r="169" s="48" customFormat="1" x14ac:dyDescent="0.25"/>
    <row r="170" s="48" customFormat="1" x14ac:dyDescent="0.25"/>
    <row r="171" s="48" customFormat="1" x14ac:dyDescent="0.25"/>
    <row r="172" s="48" customFormat="1" x14ac:dyDescent="0.25"/>
    <row r="173" s="48" customFormat="1" x14ac:dyDescent="0.25"/>
    <row r="174" s="48" customFormat="1" x14ac:dyDescent="0.25"/>
    <row r="175" s="48" customFormat="1" x14ac:dyDescent="0.25"/>
    <row r="176" s="48" customFormat="1" x14ac:dyDescent="0.25"/>
    <row r="177" s="48" customFormat="1" x14ac:dyDescent="0.25"/>
    <row r="178" s="48" customFormat="1" x14ac:dyDescent="0.25"/>
    <row r="179" s="48" customFormat="1" x14ac:dyDescent="0.25"/>
    <row r="180" s="48" customFormat="1" x14ac:dyDescent="0.25"/>
    <row r="181" s="48" customFormat="1" x14ac:dyDescent="0.25"/>
    <row r="182" s="48" customFormat="1" x14ac:dyDescent="0.25"/>
    <row r="183" s="48" customFormat="1" x14ac:dyDescent="0.25"/>
    <row r="184" s="48" customFormat="1" x14ac:dyDescent="0.25"/>
    <row r="185" s="48" customFormat="1" x14ac:dyDescent="0.25"/>
    <row r="186" s="48" customFormat="1" x14ac:dyDescent="0.25"/>
    <row r="187" s="48" customFormat="1" x14ac:dyDescent="0.25"/>
    <row r="188" s="48" customFormat="1" x14ac:dyDescent="0.25"/>
    <row r="189" s="48" customFormat="1" x14ac:dyDescent="0.25"/>
    <row r="190" s="48" customFormat="1" x14ac:dyDescent="0.25"/>
    <row r="191" s="48" customFormat="1" x14ac:dyDescent="0.25"/>
    <row r="192" s="48" customFormat="1" x14ac:dyDescent="0.25"/>
    <row r="193" s="48" customFormat="1" x14ac:dyDescent="0.25"/>
    <row r="194" s="48" customFormat="1" x14ac:dyDescent="0.25"/>
    <row r="195" s="48" customFormat="1" x14ac:dyDescent="0.25"/>
    <row r="196" s="48" customFormat="1" x14ac:dyDescent="0.25"/>
    <row r="197" s="48" customFormat="1" x14ac:dyDescent="0.25"/>
    <row r="198" s="48" customFormat="1" x14ac:dyDescent="0.25"/>
    <row r="199" s="48" customFormat="1" x14ac:dyDescent="0.25"/>
    <row r="200" s="48" customFormat="1" x14ac:dyDescent="0.25"/>
    <row r="201" s="48" customFormat="1" x14ac:dyDescent="0.25"/>
    <row r="202" s="48" customFormat="1" x14ac:dyDescent="0.25"/>
    <row r="203" s="48" customFormat="1" x14ac:dyDescent="0.25"/>
    <row r="204" s="48" customFormat="1" x14ac:dyDescent="0.25"/>
    <row r="205" s="48" customFormat="1" x14ac:dyDescent="0.25"/>
    <row r="206" s="48" customFormat="1" x14ac:dyDescent="0.25"/>
    <row r="207" s="48" customFormat="1" x14ac:dyDescent="0.25"/>
    <row r="208" s="48" customFormat="1" x14ac:dyDescent="0.25"/>
    <row r="209" s="48" customFormat="1" x14ac:dyDescent="0.25"/>
    <row r="210" s="48" customFormat="1" x14ac:dyDescent="0.25"/>
    <row r="211" s="48" customFormat="1" x14ac:dyDescent="0.25"/>
    <row r="212" s="48" customFormat="1" x14ac:dyDescent="0.25"/>
    <row r="213" s="48" customFormat="1" x14ac:dyDescent="0.25"/>
    <row r="214" s="48" customFormat="1" x14ac:dyDescent="0.25"/>
    <row r="215" s="48" customFormat="1" x14ac:dyDescent="0.25"/>
    <row r="216" s="48" customFormat="1" x14ac:dyDescent="0.25"/>
    <row r="217" s="48" customFormat="1" x14ac:dyDescent="0.25"/>
    <row r="218" s="48" customFormat="1" x14ac:dyDescent="0.25"/>
    <row r="219" s="48" customFormat="1" x14ac:dyDescent="0.25"/>
    <row r="220" s="48" customFormat="1" x14ac:dyDescent="0.25"/>
    <row r="221" s="48" customFormat="1" x14ac:dyDescent="0.25"/>
    <row r="222" s="48" customFormat="1" x14ac:dyDescent="0.25"/>
    <row r="223" s="48" customFormat="1" x14ac:dyDescent="0.25"/>
    <row r="224" s="48" customFormat="1" x14ac:dyDescent="0.25"/>
    <row r="225" s="48" customFormat="1" x14ac:dyDescent="0.25"/>
    <row r="226" s="48" customFormat="1" x14ac:dyDescent="0.25"/>
    <row r="227" s="48" customFormat="1" x14ac:dyDescent="0.25"/>
    <row r="228" s="48" customFormat="1" x14ac:dyDescent="0.25"/>
    <row r="229" s="48" customFormat="1" x14ac:dyDescent="0.25"/>
    <row r="230" s="48" customFormat="1" x14ac:dyDescent="0.25"/>
    <row r="231" s="48" customFormat="1" x14ac:dyDescent="0.25"/>
    <row r="232" s="48" customFormat="1" x14ac:dyDescent="0.25"/>
    <row r="233" s="48" customFormat="1" x14ac:dyDescent="0.25"/>
    <row r="234" s="48" customFormat="1" x14ac:dyDescent="0.25"/>
    <row r="235" s="48" customFormat="1" x14ac:dyDescent="0.25"/>
    <row r="236" s="48" customFormat="1" x14ac:dyDescent="0.25"/>
    <row r="237" s="48" customFormat="1" x14ac:dyDescent="0.25"/>
    <row r="238" s="48" customFormat="1" x14ac:dyDescent="0.25"/>
    <row r="239" s="48" customFormat="1" x14ac:dyDescent="0.25"/>
    <row r="240" s="48" customFormat="1" x14ac:dyDescent="0.25"/>
    <row r="241" s="48" customFormat="1" x14ac:dyDescent="0.25"/>
    <row r="242" s="48" customFormat="1" x14ac:dyDescent="0.25"/>
    <row r="243" s="48" customFormat="1" x14ac:dyDescent="0.25"/>
    <row r="244" s="48" customFormat="1" x14ac:dyDescent="0.25"/>
    <row r="245" s="48" customFormat="1" x14ac:dyDescent="0.25"/>
    <row r="246" s="48" customFormat="1" x14ac:dyDescent="0.25"/>
    <row r="247" s="48" customFormat="1" x14ac:dyDescent="0.25"/>
    <row r="248" s="48" customFormat="1" x14ac:dyDescent="0.25"/>
    <row r="249" s="48" customFormat="1" x14ac:dyDescent="0.25"/>
    <row r="250" s="48" customFormat="1" x14ac:dyDescent="0.25"/>
    <row r="251" s="48" customFormat="1" x14ac:dyDescent="0.25"/>
    <row r="252" s="48" customFormat="1" x14ac:dyDescent="0.25"/>
    <row r="253" s="48" customFormat="1" x14ac:dyDescent="0.25"/>
    <row r="254" s="48" customFormat="1" x14ac:dyDescent="0.25"/>
    <row r="255" s="48" customFormat="1" x14ac:dyDescent="0.25"/>
    <row r="256" s="48" customFormat="1" x14ac:dyDescent="0.25"/>
    <row r="257" s="48" customFormat="1" x14ac:dyDescent="0.25"/>
    <row r="258" s="48" customFormat="1" x14ac:dyDescent="0.25"/>
    <row r="259" s="48" customFormat="1" x14ac:dyDescent="0.25"/>
    <row r="260" s="48" customFormat="1" x14ac:dyDescent="0.25"/>
    <row r="261" s="48" customFormat="1" x14ac:dyDescent="0.25"/>
    <row r="262" s="48" customFormat="1" x14ac:dyDescent="0.25"/>
    <row r="263" s="48" customFormat="1" x14ac:dyDescent="0.25"/>
    <row r="264" s="48" customFormat="1" x14ac:dyDescent="0.25"/>
    <row r="265" s="48" customFormat="1" x14ac:dyDescent="0.25"/>
    <row r="266" s="48" customFormat="1" x14ac:dyDescent="0.25"/>
    <row r="267" s="48" customFormat="1" x14ac:dyDescent="0.25"/>
    <row r="268" s="48" customFormat="1" x14ac:dyDescent="0.25"/>
    <row r="269" s="48" customFormat="1" x14ac:dyDescent="0.25"/>
    <row r="270" s="48" customFormat="1" x14ac:dyDescent="0.25"/>
    <row r="271" s="48" customFormat="1" x14ac:dyDescent="0.25"/>
    <row r="272" s="48" customFormat="1" x14ac:dyDescent="0.25"/>
    <row r="273" s="48" customFormat="1" x14ac:dyDescent="0.25"/>
    <row r="274" s="48" customFormat="1" x14ac:dyDescent="0.25"/>
    <row r="275" s="48" customFormat="1" x14ac:dyDescent="0.25"/>
    <row r="276" s="48" customFormat="1" x14ac:dyDescent="0.25"/>
    <row r="277" s="48" customFormat="1" x14ac:dyDescent="0.25"/>
    <row r="278" s="48" customFormat="1" x14ac:dyDescent="0.25"/>
    <row r="279" s="48" customFormat="1" x14ac:dyDescent="0.25"/>
    <row r="280" s="48" customFormat="1" x14ac:dyDescent="0.25"/>
    <row r="281" s="48" customFormat="1" x14ac:dyDescent="0.25"/>
    <row r="282" s="48" customFormat="1" x14ac:dyDescent="0.25"/>
    <row r="283" s="48" customFormat="1" x14ac:dyDescent="0.25"/>
    <row r="284" s="48" customFormat="1" x14ac:dyDescent="0.25"/>
    <row r="285" s="48" customFormat="1" x14ac:dyDescent="0.25"/>
    <row r="286" s="48" customFormat="1" x14ac:dyDescent="0.25"/>
    <row r="287" s="48" customFormat="1" x14ac:dyDescent="0.25"/>
    <row r="288" s="48" customFormat="1" x14ac:dyDescent="0.25"/>
    <row r="289" s="48" customFormat="1" x14ac:dyDescent="0.25"/>
    <row r="290" s="48" customFormat="1" x14ac:dyDescent="0.25"/>
    <row r="291" s="48" customFormat="1" x14ac:dyDescent="0.25"/>
    <row r="292" s="48" customFormat="1" x14ac:dyDescent="0.25"/>
    <row r="293" s="48" customFormat="1" x14ac:dyDescent="0.25"/>
    <row r="294" s="48" customFormat="1" x14ac:dyDescent="0.25"/>
    <row r="295" s="48" customFormat="1" x14ac:dyDescent="0.25"/>
    <row r="296" s="48" customFormat="1" x14ac:dyDescent="0.25"/>
    <row r="297" s="48" customFormat="1" x14ac:dyDescent="0.25"/>
    <row r="298" s="48" customFormat="1" x14ac:dyDescent="0.25"/>
    <row r="299" s="48" customFormat="1" x14ac:dyDescent="0.25"/>
    <row r="300" s="48" customFormat="1" x14ac:dyDescent="0.25"/>
    <row r="301" s="48" customFormat="1" x14ac:dyDescent="0.25"/>
    <row r="302" s="48" customFormat="1" x14ac:dyDescent="0.25"/>
    <row r="303" s="48" customFormat="1" x14ac:dyDescent="0.25"/>
    <row r="304" s="48" customFormat="1" x14ac:dyDescent="0.25"/>
    <row r="305" s="48" customFormat="1" x14ac:dyDescent="0.25"/>
    <row r="306" s="48" customFormat="1" x14ac:dyDescent="0.25"/>
    <row r="307" s="48" customFormat="1" x14ac:dyDescent="0.25"/>
    <row r="308" s="48" customFormat="1" x14ac:dyDescent="0.25"/>
    <row r="309" s="48" customFormat="1" x14ac:dyDescent="0.25"/>
    <row r="310" s="48" customFormat="1" x14ac:dyDescent="0.25"/>
    <row r="311" s="48" customFormat="1" x14ac:dyDescent="0.25"/>
    <row r="312" s="48" customFormat="1" x14ac:dyDescent="0.25"/>
    <row r="313" s="48" customFormat="1" x14ac:dyDescent="0.25"/>
    <row r="314" s="48" customFormat="1" x14ac:dyDescent="0.25"/>
    <row r="315" s="48" customFormat="1" x14ac:dyDescent="0.25"/>
    <row r="316" s="48" customFormat="1" x14ac:dyDescent="0.25"/>
    <row r="317" s="48" customFormat="1" x14ac:dyDescent="0.25"/>
    <row r="318" s="48" customFormat="1" x14ac:dyDescent="0.25"/>
    <row r="319" s="48" customFormat="1" x14ac:dyDescent="0.25"/>
    <row r="320" s="48" customFormat="1" x14ac:dyDescent="0.25"/>
    <row r="321" s="48" customFormat="1" x14ac:dyDescent="0.25"/>
    <row r="322" s="48" customFormat="1" x14ac:dyDescent="0.25"/>
    <row r="323" s="48" customFormat="1" x14ac:dyDescent="0.25"/>
    <row r="324" s="48" customFormat="1" x14ac:dyDescent="0.25"/>
    <row r="325" s="48" customFormat="1" x14ac:dyDescent="0.25"/>
    <row r="326" s="48" customFormat="1" x14ac:dyDescent="0.25"/>
    <row r="327" s="48" customFormat="1" x14ac:dyDescent="0.25"/>
    <row r="328" s="48" customFormat="1" x14ac:dyDescent="0.25"/>
    <row r="329" s="48" customFormat="1" x14ac:dyDescent="0.25"/>
    <row r="330" s="48" customFormat="1" x14ac:dyDescent="0.25"/>
    <row r="331" s="48" customFormat="1" x14ac:dyDescent="0.25"/>
    <row r="332" s="48" customFormat="1" x14ac:dyDescent="0.25"/>
    <row r="333" s="48" customFormat="1" x14ac:dyDescent="0.25"/>
    <row r="334" s="48" customFormat="1" x14ac:dyDescent="0.25"/>
    <row r="335" s="48" customFormat="1" x14ac:dyDescent="0.25"/>
    <row r="336" s="48" customFormat="1" x14ac:dyDescent="0.25"/>
    <row r="337" s="48" customFormat="1" x14ac:dyDescent="0.25"/>
    <row r="338" s="48" customFormat="1" x14ac:dyDescent="0.25"/>
    <row r="339" s="48" customFormat="1" x14ac:dyDescent="0.25"/>
    <row r="340" s="48" customFormat="1" x14ac:dyDescent="0.25"/>
    <row r="341" s="48" customFormat="1" x14ac:dyDescent="0.25"/>
    <row r="342" s="48" customFormat="1" x14ac:dyDescent="0.25"/>
    <row r="343" s="48" customFormat="1" x14ac:dyDescent="0.25"/>
    <row r="344" s="48" customFormat="1" x14ac:dyDescent="0.25"/>
    <row r="345" s="48" customFormat="1" x14ac:dyDescent="0.25"/>
    <row r="346" s="48" customFormat="1" x14ac:dyDescent="0.25"/>
    <row r="347" s="48" customFormat="1" x14ac:dyDescent="0.25"/>
    <row r="348" s="48" customFormat="1" x14ac:dyDescent="0.25"/>
    <row r="349" s="48" customFormat="1" x14ac:dyDescent="0.25"/>
    <row r="350" s="48" customFormat="1" x14ac:dyDescent="0.25"/>
    <row r="351" s="48" customFormat="1" x14ac:dyDescent="0.25"/>
    <row r="352" s="48" customFormat="1" x14ac:dyDescent="0.25"/>
    <row r="353" s="48" customFormat="1" x14ac:dyDescent="0.25"/>
    <row r="354" s="48" customFormat="1" x14ac:dyDescent="0.25"/>
    <row r="355" s="48" customFormat="1" x14ac:dyDescent="0.25"/>
    <row r="356" s="48" customFormat="1" x14ac:dyDescent="0.25"/>
    <row r="357" s="48" customFormat="1" x14ac:dyDescent="0.25"/>
    <row r="358" s="48" customFormat="1" x14ac:dyDescent="0.25"/>
    <row r="359" s="48" customFormat="1" x14ac:dyDescent="0.25"/>
    <row r="360" s="48" customFormat="1" x14ac:dyDescent="0.25"/>
    <row r="361" s="48" customFormat="1" x14ac:dyDescent="0.25"/>
    <row r="362" s="48" customFormat="1" x14ac:dyDescent="0.25"/>
    <row r="363" s="48" customFormat="1" x14ac:dyDescent="0.25"/>
    <row r="364" s="48" customFormat="1" x14ac:dyDescent="0.25"/>
    <row r="365" s="48" customFormat="1" x14ac:dyDescent="0.25"/>
    <row r="366" s="48" customFormat="1" x14ac:dyDescent="0.25"/>
    <row r="367" s="48" customFormat="1" x14ac:dyDescent="0.25"/>
    <row r="368" s="48" customFormat="1" x14ac:dyDescent="0.25"/>
    <row r="369" s="48" customFormat="1" x14ac:dyDescent="0.25"/>
    <row r="370" s="48" customFormat="1" x14ac:dyDescent="0.25"/>
    <row r="371" s="48" customFormat="1" x14ac:dyDescent="0.25"/>
    <row r="372" s="48" customFormat="1" x14ac:dyDescent="0.25"/>
    <row r="373" s="48" customFormat="1" x14ac:dyDescent="0.25"/>
    <row r="374" s="48" customFormat="1" x14ac:dyDescent="0.25"/>
    <row r="375" s="48" customFormat="1" x14ac:dyDescent="0.25"/>
    <row r="376" s="48" customFormat="1" x14ac:dyDescent="0.25"/>
    <row r="377" s="48" customFormat="1" x14ac:dyDescent="0.25"/>
    <row r="378" s="48" customFormat="1" x14ac:dyDescent="0.25"/>
    <row r="379" s="48" customFormat="1" x14ac:dyDescent="0.25"/>
    <row r="380" s="48" customFormat="1" x14ac:dyDescent="0.25"/>
    <row r="381" s="48" customFormat="1" x14ac:dyDescent="0.25"/>
    <row r="382" s="48" customFormat="1" x14ac:dyDescent="0.25"/>
    <row r="383" s="48" customFormat="1" x14ac:dyDescent="0.25"/>
    <row r="384" s="48" customFormat="1" x14ac:dyDescent="0.25"/>
    <row r="385" s="48" customFormat="1" x14ac:dyDescent="0.25"/>
    <row r="386" s="48" customFormat="1" x14ac:dyDescent="0.25"/>
    <row r="387" s="48" customFormat="1" x14ac:dyDescent="0.25"/>
    <row r="388" s="48" customFormat="1" x14ac:dyDescent="0.25"/>
    <row r="389" s="48" customFormat="1" x14ac:dyDescent="0.25"/>
    <row r="390" s="48" customFormat="1" x14ac:dyDescent="0.25"/>
    <row r="391" s="48" customFormat="1" x14ac:dyDescent="0.25"/>
    <row r="392" s="48" customFormat="1" x14ac:dyDescent="0.25"/>
    <row r="393" s="48" customFormat="1" x14ac:dyDescent="0.25"/>
    <row r="394" s="48" customFormat="1" x14ac:dyDescent="0.25"/>
    <row r="395" s="48" customFormat="1" x14ac:dyDescent="0.25"/>
    <row r="396" s="48" customFormat="1" x14ac:dyDescent="0.25"/>
    <row r="397" s="48" customFormat="1" x14ac:dyDescent="0.25"/>
    <row r="398" s="48" customFormat="1" x14ac:dyDescent="0.25"/>
    <row r="399" s="48" customFormat="1" x14ac:dyDescent="0.25"/>
    <row r="400" s="48" customFormat="1" x14ac:dyDescent="0.25"/>
    <row r="401" s="48" customFormat="1" x14ac:dyDescent="0.25"/>
    <row r="402" s="48" customFormat="1" x14ac:dyDescent="0.25"/>
    <row r="403" s="48" customFormat="1" x14ac:dyDescent="0.25"/>
    <row r="404" s="48" customFormat="1" x14ac:dyDescent="0.25"/>
    <row r="405" s="48" customFormat="1" x14ac:dyDescent="0.25"/>
    <row r="406" s="48" customFormat="1" x14ac:dyDescent="0.25"/>
    <row r="407" s="48" customFormat="1" x14ac:dyDescent="0.25"/>
    <row r="408" s="48" customFormat="1" x14ac:dyDescent="0.25"/>
    <row r="409" s="48" customFormat="1" x14ac:dyDescent="0.25"/>
    <row r="410" s="48" customFormat="1" x14ac:dyDescent="0.25"/>
    <row r="411" s="48" customFormat="1" x14ac:dyDescent="0.25"/>
    <row r="412" s="48" customFormat="1" x14ac:dyDescent="0.25"/>
    <row r="413" s="48" customFormat="1" x14ac:dyDescent="0.25"/>
    <row r="414" s="48" customFormat="1" x14ac:dyDescent="0.25"/>
    <row r="415" s="48" customFormat="1" x14ac:dyDescent="0.25"/>
    <row r="416" s="48" customFormat="1" x14ac:dyDescent="0.25"/>
    <row r="417" s="48" customFormat="1" x14ac:dyDescent="0.25"/>
    <row r="418" s="48" customFormat="1" x14ac:dyDescent="0.25"/>
    <row r="419" s="48" customFormat="1" x14ac:dyDescent="0.25"/>
    <row r="420" s="48" customFormat="1" x14ac:dyDescent="0.25"/>
    <row r="421" s="48" customFormat="1" x14ac:dyDescent="0.25"/>
    <row r="422" s="48" customFormat="1" x14ac:dyDescent="0.25"/>
    <row r="423" s="48" customFormat="1" x14ac:dyDescent="0.25"/>
    <row r="424" s="48" customFormat="1" x14ac:dyDescent="0.25"/>
    <row r="425" s="48" customFormat="1" x14ac:dyDescent="0.25"/>
    <row r="426" s="48" customFormat="1" x14ac:dyDescent="0.25"/>
    <row r="427" s="48" customFormat="1" x14ac:dyDescent="0.25"/>
    <row r="428" s="48" customFormat="1" x14ac:dyDescent="0.25"/>
    <row r="429" s="48" customFormat="1" x14ac:dyDescent="0.25"/>
    <row r="430" s="48" customFormat="1" x14ac:dyDescent="0.25"/>
    <row r="431" s="48" customFormat="1" x14ac:dyDescent="0.25"/>
    <row r="432" s="48" customFormat="1" x14ac:dyDescent="0.25"/>
    <row r="433" s="48" customFormat="1" x14ac:dyDescent="0.25"/>
    <row r="434" s="48" customFormat="1" x14ac:dyDescent="0.25"/>
    <row r="435" s="48" customFormat="1" x14ac:dyDescent="0.25"/>
    <row r="436" s="48" customFormat="1" x14ac:dyDescent="0.25"/>
    <row r="437" s="48" customFormat="1" x14ac:dyDescent="0.25"/>
    <row r="438" s="48" customFormat="1" x14ac:dyDescent="0.25"/>
    <row r="439" s="48" customFormat="1" x14ac:dyDescent="0.25"/>
    <row r="440" s="48" customFormat="1" x14ac:dyDescent="0.25"/>
    <row r="441" s="48" customFormat="1" x14ac:dyDescent="0.25"/>
    <row r="442" s="48" customFormat="1" x14ac:dyDescent="0.25"/>
    <row r="443" s="48" customFormat="1" x14ac:dyDescent="0.25"/>
    <row r="444" s="48" customFormat="1" x14ac:dyDescent="0.25"/>
    <row r="445" s="48" customFormat="1" x14ac:dyDescent="0.25"/>
    <row r="446" s="48" customFormat="1" x14ac:dyDescent="0.25"/>
    <row r="447" s="48" customFormat="1" x14ac:dyDescent="0.25"/>
    <row r="448" s="48" customFormat="1" x14ac:dyDescent="0.25"/>
    <row r="449" s="48" customFormat="1" x14ac:dyDescent="0.25"/>
    <row r="450" s="48" customFormat="1" x14ac:dyDescent="0.25"/>
    <row r="451" s="48" customFormat="1" x14ac:dyDescent="0.25"/>
    <row r="452" s="48" customFormat="1" x14ac:dyDescent="0.25"/>
    <row r="453" s="48" customFormat="1" x14ac:dyDescent="0.25"/>
    <row r="454" s="48" customFormat="1" x14ac:dyDescent="0.25"/>
    <row r="455" s="48" customFormat="1" x14ac:dyDescent="0.25"/>
    <row r="456" s="48" customFormat="1" x14ac:dyDescent="0.25"/>
    <row r="457" s="48" customFormat="1" x14ac:dyDescent="0.25"/>
    <row r="458" s="48" customFormat="1" x14ac:dyDescent="0.25"/>
    <row r="459" s="48" customFormat="1" x14ac:dyDescent="0.25"/>
    <row r="460" s="48" customFormat="1" x14ac:dyDescent="0.25"/>
    <row r="461" s="48" customFormat="1" x14ac:dyDescent="0.25"/>
    <row r="462" s="48" customFormat="1" x14ac:dyDescent="0.25"/>
    <row r="463" s="48" customFormat="1" x14ac:dyDescent="0.25"/>
    <row r="464" s="48" customFormat="1" x14ac:dyDescent="0.25"/>
    <row r="465" s="48" customFormat="1" x14ac:dyDescent="0.25"/>
    <row r="466" s="48" customFormat="1" x14ac:dyDescent="0.25"/>
    <row r="467" s="48" customFormat="1" x14ac:dyDescent="0.25"/>
    <row r="468" s="48" customFormat="1" x14ac:dyDescent="0.25"/>
    <row r="469" s="48" customFormat="1" x14ac:dyDescent="0.25"/>
    <row r="470" s="48" customFormat="1" x14ac:dyDescent="0.25"/>
    <row r="471" s="48" customFormat="1" x14ac:dyDescent="0.25"/>
    <row r="472" s="48" customFormat="1" x14ac:dyDescent="0.25"/>
    <row r="473" s="48" customFormat="1" x14ac:dyDescent="0.25"/>
    <row r="474" s="48" customFormat="1" x14ac:dyDescent="0.25"/>
    <row r="475" s="48" customFormat="1" x14ac:dyDescent="0.25"/>
    <row r="476" s="48" customFormat="1" x14ac:dyDescent="0.25"/>
    <row r="477" s="48" customFormat="1" x14ac:dyDescent="0.25"/>
    <row r="478" s="48" customFormat="1" x14ac:dyDescent="0.25"/>
    <row r="479" s="48" customFormat="1" x14ac:dyDescent="0.25"/>
    <row r="480" s="48" customFormat="1" x14ac:dyDescent="0.25"/>
    <row r="481" s="48" customFormat="1" x14ac:dyDescent="0.25"/>
    <row r="482" s="48" customFormat="1" x14ac:dyDescent="0.25"/>
    <row r="483" s="48" customFormat="1" x14ac:dyDescent="0.25"/>
    <row r="484" s="48" customFormat="1" x14ac:dyDescent="0.25"/>
    <row r="485" s="48" customFormat="1" x14ac:dyDescent="0.25"/>
    <row r="486" s="48" customFormat="1" x14ac:dyDescent="0.25"/>
    <row r="487" s="48" customFormat="1" x14ac:dyDescent="0.25"/>
    <row r="488" s="48" customFormat="1" x14ac:dyDescent="0.25"/>
    <row r="489" s="48" customFormat="1" x14ac:dyDescent="0.25"/>
    <row r="490" s="48" customFormat="1" x14ac:dyDescent="0.25"/>
    <row r="491" s="48" customFormat="1" x14ac:dyDescent="0.25"/>
    <row r="492" s="48" customFormat="1" x14ac:dyDescent="0.25"/>
    <row r="493" s="48" customFormat="1" x14ac:dyDescent="0.25"/>
    <row r="494" s="48" customFormat="1" x14ac:dyDescent="0.25"/>
    <row r="495" s="48" customFormat="1" x14ac:dyDescent="0.25"/>
    <row r="496" s="48" customFormat="1" x14ac:dyDescent="0.25"/>
    <row r="497" s="48" customFormat="1" x14ac:dyDescent="0.25"/>
    <row r="498" s="48" customFormat="1" x14ac:dyDescent="0.25"/>
    <row r="499" s="48" customFormat="1" x14ac:dyDescent="0.25"/>
    <row r="500" s="48" customFormat="1" x14ac:dyDescent="0.25"/>
    <row r="501" s="48" customFormat="1" x14ac:dyDescent="0.25"/>
    <row r="502" s="48" customFormat="1" x14ac:dyDescent="0.25"/>
    <row r="503" s="48" customFormat="1" x14ac:dyDescent="0.25"/>
    <row r="504" s="48" customFormat="1" x14ac:dyDescent="0.25"/>
    <row r="505" s="48" customFormat="1" x14ac:dyDescent="0.25"/>
    <row r="506" s="48" customFormat="1" x14ac:dyDescent="0.25"/>
    <row r="507" s="48" customFormat="1" x14ac:dyDescent="0.25"/>
    <row r="508" s="48" customFormat="1" x14ac:dyDescent="0.25"/>
    <row r="509" s="48" customFormat="1" x14ac:dyDescent="0.25"/>
    <row r="510" s="48" customFormat="1" x14ac:dyDescent="0.25"/>
    <row r="511" s="48" customFormat="1" x14ac:dyDescent="0.25"/>
    <row r="512" s="48" customFormat="1" x14ac:dyDescent="0.25"/>
    <row r="513" s="48" customFormat="1" x14ac:dyDescent="0.25"/>
    <row r="514" s="48" customFormat="1" x14ac:dyDescent="0.25"/>
    <row r="515" s="48" customFormat="1" x14ac:dyDescent="0.25"/>
    <row r="516" s="48" customFormat="1" x14ac:dyDescent="0.25"/>
    <row r="517" s="48" customFormat="1" x14ac:dyDescent="0.25"/>
    <row r="518" s="48" customFormat="1" x14ac:dyDescent="0.25"/>
    <row r="519" s="48" customFormat="1" x14ac:dyDescent="0.25"/>
    <row r="520" s="48" customFormat="1" x14ac:dyDescent="0.25"/>
    <row r="521" s="48" customFormat="1" x14ac:dyDescent="0.25"/>
    <row r="522" s="48" customFormat="1" x14ac:dyDescent="0.25"/>
    <row r="523" s="48" customFormat="1" x14ac:dyDescent="0.25"/>
    <row r="524" s="48" customFormat="1" x14ac:dyDescent="0.25"/>
    <row r="525" s="48" customFormat="1" x14ac:dyDescent="0.25"/>
    <row r="526" s="48" customFormat="1" x14ac:dyDescent="0.25"/>
    <row r="527" s="48" customFormat="1" x14ac:dyDescent="0.25"/>
    <row r="528" s="48" customFormat="1" x14ac:dyDescent="0.25"/>
    <row r="529" s="48" customFormat="1" x14ac:dyDescent="0.25"/>
    <row r="530" s="48" customFormat="1" x14ac:dyDescent="0.25"/>
    <row r="531" s="48" customFormat="1" x14ac:dyDescent="0.25"/>
    <row r="532" s="48" customFormat="1" x14ac:dyDescent="0.25"/>
    <row r="533" s="48" customFormat="1" x14ac:dyDescent="0.25"/>
    <row r="534" s="48" customFormat="1" x14ac:dyDescent="0.25"/>
    <row r="535" s="48" customFormat="1" x14ac:dyDescent="0.25"/>
    <row r="536" s="48" customFormat="1" x14ac:dyDescent="0.25"/>
    <row r="537" s="48" customFormat="1" x14ac:dyDescent="0.25"/>
    <row r="538" s="48" customFormat="1" x14ac:dyDescent="0.25"/>
    <row r="539" s="48" customFormat="1" x14ac:dyDescent="0.25"/>
    <row r="540" s="48" customFormat="1" x14ac:dyDescent="0.25"/>
    <row r="541" s="48" customFormat="1" x14ac:dyDescent="0.25"/>
    <row r="542" s="48" customFormat="1" x14ac:dyDescent="0.25"/>
    <row r="543" s="48" customFormat="1" x14ac:dyDescent="0.25"/>
    <row r="544" s="48" customFormat="1" x14ac:dyDescent="0.25"/>
    <row r="545" s="48" customFormat="1" x14ac:dyDescent="0.25"/>
    <row r="546" s="48" customFormat="1" x14ac:dyDescent="0.25"/>
    <row r="547" s="48" customFormat="1" x14ac:dyDescent="0.25"/>
    <row r="548" s="48" customFormat="1" x14ac:dyDescent="0.25"/>
    <row r="549" s="48" customFormat="1" x14ac:dyDescent="0.25"/>
    <row r="550" s="48" customFormat="1" x14ac:dyDescent="0.25"/>
    <row r="551" s="48" customFormat="1" x14ac:dyDescent="0.25"/>
    <row r="552" s="48" customFormat="1" x14ac:dyDescent="0.25"/>
    <row r="553" s="48" customFormat="1" x14ac:dyDescent="0.25"/>
    <row r="554" s="48" customFormat="1" x14ac:dyDescent="0.25"/>
    <row r="555" s="48" customFormat="1" x14ac:dyDescent="0.25"/>
    <row r="556" s="48" customFormat="1" x14ac:dyDescent="0.25"/>
    <row r="557" s="48" customFormat="1" x14ac:dyDescent="0.25"/>
    <row r="558" s="48" customFormat="1" x14ac:dyDescent="0.25"/>
    <row r="559" s="48" customFormat="1" x14ac:dyDescent="0.25"/>
    <row r="560" s="48" customFormat="1" x14ac:dyDescent="0.25"/>
    <row r="561" s="48" customFormat="1" x14ac:dyDescent="0.25"/>
    <row r="562" s="48" customFormat="1" x14ac:dyDescent="0.25"/>
    <row r="563" s="48" customFormat="1" x14ac:dyDescent="0.25"/>
    <row r="564" s="48" customFormat="1" x14ac:dyDescent="0.25"/>
    <row r="565" s="48" customFormat="1" x14ac:dyDescent="0.25"/>
    <row r="566" s="48" customFormat="1" x14ac:dyDescent="0.25"/>
    <row r="567" s="48" customFormat="1" x14ac:dyDescent="0.25"/>
    <row r="568" s="48" customFormat="1" x14ac:dyDescent="0.25"/>
    <row r="569" s="48" customFormat="1" x14ac:dyDescent="0.25"/>
    <row r="570" s="48" customFormat="1" x14ac:dyDescent="0.25"/>
    <row r="571" s="48" customFormat="1" x14ac:dyDescent="0.25"/>
    <row r="572" s="48" customFormat="1" x14ac:dyDescent="0.25"/>
    <row r="573" s="48" customFormat="1" x14ac:dyDescent="0.25"/>
    <row r="574" s="48" customFormat="1" x14ac:dyDescent="0.25"/>
    <row r="575" s="48" customFormat="1" x14ac:dyDescent="0.25"/>
    <row r="576" s="48" customFormat="1" x14ac:dyDescent="0.25"/>
    <row r="577" s="48" customFormat="1" x14ac:dyDescent="0.25"/>
    <row r="578" s="48" customFormat="1" x14ac:dyDescent="0.25"/>
    <row r="579" s="48" customFormat="1" x14ac:dyDescent="0.25"/>
    <row r="580" s="48" customFormat="1" x14ac:dyDescent="0.25"/>
    <row r="581" s="48" customFormat="1" x14ac:dyDescent="0.25"/>
    <row r="582" s="48" customFormat="1" x14ac:dyDescent="0.25"/>
    <row r="583" s="48" customFormat="1" x14ac:dyDescent="0.25"/>
    <row r="584" s="48" customFormat="1" x14ac:dyDescent="0.25"/>
    <row r="585" s="48" customFormat="1" x14ac:dyDescent="0.25"/>
    <row r="586" s="48" customFormat="1" x14ac:dyDescent="0.25"/>
    <row r="587" s="48" customFormat="1" x14ac:dyDescent="0.25"/>
    <row r="588" s="48" customFormat="1" x14ac:dyDescent="0.25"/>
    <row r="589" s="48" customFormat="1" x14ac:dyDescent="0.25"/>
    <row r="590" s="48" customFormat="1" x14ac:dyDescent="0.25"/>
    <row r="591" s="48" customFormat="1" x14ac:dyDescent="0.25"/>
    <row r="592" s="48" customFormat="1" x14ac:dyDescent="0.25"/>
    <row r="593" s="48" customFormat="1" x14ac:dyDescent="0.25"/>
    <row r="594" s="48" customFormat="1" x14ac:dyDescent="0.25"/>
    <row r="595" s="48" customFormat="1" x14ac:dyDescent="0.25"/>
    <row r="596" s="48" customFormat="1" x14ac:dyDescent="0.25"/>
    <row r="597" s="48" customFormat="1" x14ac:dyDescent="0.25"/>
    <row r="598" s="48" customFormat="1" x14ac:dyDescent="0.25"/>
    <row r="599" s="48" customFormat="1" x14ac:dyDescent="0.25"/>
    <row r="600" s="48" customFormat="1" x14ac:dyDescent="0.25"/>
    <row r="601" s="48" customFormat="1" x14ac:dyDescent="0.25"/>
  </sheetData>
  <sheetProtection sheet="1" objects="1" scenarios="1"/>
  <sortState xmlns:xlrd2="http://schemas.microsoft.com/office/spreadsheetml/2017/richdata2" ref="G6:R31">
    <sortCondition ref="K5"/>
    <sortCondition ref="L5"/>
  </sortState>
  <dataConsolidate/>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C1:J80"/>
  <sheetViews>
    <sheetView showGridLines="0" showRowColHeaders="0" zoomScaleNormal="100" workbookViewId="0">
      <pane xSplit="2" ySplit="8" topLeftCell="C9" activePane="bottomRight" state="frozen"/>
      <selection pane="topRight" activeCell="C1" sqref="C1"/>
      <selection pane="bottomLeft" activeCell="A9" sqref="A9"/>
      <selection pane="bottomRight"/>
    </sheetView>
  </sheetViews>
  <sheetFormatPr defaultColWidth="9.140625" defaultRowHeight="15" x14ac:dyDescent="0.25"/>
  <cols>
    <col min="1" max="1" width="7.42578125" style="1" customWidth="1"/>
    <col min="2" max="2" width="11" style="1" customWidth="1"/>
    <col min="3" max="3" width="21.7109375" style="1" bestFit="1" customWidth="1"/>
    <col min="4" max="4" width="11.28515625" style="1" customWidth="1"/>
    <col min="5" max="5" width="17.7109375" style="1" customWidth="1"/>
    <col min="6" max="6" width="16.7109375" style="1" customWidth="1"/>
    <col min="7" max="7" width="17.42578125" style="1" bestFit="1" customWidth="1"/>
    <col min="8" max="8" width="39.85546875" style="1" customWidth="1"/>
    <col min="9" max="9" width="36.42578125" style="1" customWidth="1"/>
    <col min="10" max="10" width="37.42578125" style="1" customWidth="1"/>
    <col min="11" max="11" width="40.28515625" style="1" customWidth="1"/>
    <col min="12" max="12" width="40.42578125" style="1" customWidth="1"/>
    <col min="13" max="14" width="40.7109375" style="1" customWidth="1"/>
    <col min="15" max="15" width="40.28515625" style="1" customWidth="1"/>
    <col min="16" max="17" width="38.28515625" style="1" customWidth="1"/>
    <col min="18" max="18" width="26.42578125" style="1" customWidth="1"/>
    <col min="19" max="19" width="25.7109375" style="1" customWidth="1"/>
    <col min="20" max="22" width="26.42578125" style="1" customWidth="1"/>
    <col min="23" max="23" width="26" style="1" customWidth="1"/>
    <col min="24" max="24" width="26.42578125" style="1" customWidth="1"/>
    <col min="25" max="25" width="28" style="1" customWidth="1"/>
    <col min="26" max="32" width="26.42578125" style="1" customWidth="1"/>
    <col min="33" max="34" width="28" style="1" customWidth="1"/>
    <col min="35" max="35" width="26.42578125" style="1" customWidth="1"/>
    <col min="36" max="36" width="28" style="1" customWidth="1"/>
    <col min="37" max="37" width="14" style="1" customWidth="1"/>
    <col min="38" max="38" width="11.7109375" style="1" customWidth="1"/>
    <col min="39" max="39" width="13.28515625" style="1" customWidth="1"/>
    <col min="40" max="40" width="10.85546875" style="1" customWidth="1"/>
    <col min="41" max="41" width="21.85546875" style="1" customWidth="1"/>
    <col min="42" max="42" width="10.140625" style="1" customWidth="1"/>
    <col min="43" max="43" width="13" style="1" customWidth="1"/>
    <col min="44" max="44" width="11.85546875" style="1" customWidth="1"/>
    <col min="45" max="46" width="12.42578125" style="1" customWidth="1"/>
    <col min="47" max="47" width="18.7109375" style="1" customWidth="1"/>
    <col min="48" max="48" width="19.28515625" style="1" customWidth="1"/>
    <col min="49" max="49" width="25.7109375" style="1" customWidth="1"/>
    <col min="50" max="50" width="26.42578125" style="1" customWidth="1"/>
    <col min="51" max="51" width="9.140625" style="1"/>
    <col min="52" max="52" width="15.7109375" style="1" customWidth="1"/>
    <col min="53" max="53" width="26" style="1" customWidth="1"/>
    <col min="54" max="54" width="26.42578125" style="1" customWidth="1"/>
    <col min="55" max="55" width="28" style="1" customWidth="1"/>
    <col min="56" max="16384" width="9.140625" style="1"/>
  </cols>
  <sheetData>
    <row r="1" spans="3:10" s="4" customFormat="1" ht="60" customHeight="1" x14ac:dyDescent="0.25"/>
    <row r="2" spans="3:10" s="5" customFormat="1" ht="24.95" customHeight="1" x14ac:dyDescent="0.25"/>
    <row r="3" spans="3:10" s="8" customFormat="1" ht="3.75" customHeight="1" x14ac:dyDescent="0.25"/>
    <row r="4" spans="3:10" s="8" customFormat="1" x14ac:dyDescent="0.25"/>
    <row r="5" spans="3:10" s="8" customFormat="1" ht="3" customHeight="1" x14ac:dyDescent="0.25"/>
    <row r="8" spans="3:10" x14ac:dyDescent="0.25">
      <c r="C8" s="1" t="s">
        <v>38</v>
      </c>
      <c r="D8" s="1" t="s">
        <v>120</v>
      </c>
      <c r="E8" s="1" t="s">
        <v>122</v>
      </c>
      <c r="F8" s="1" t="s">
        <v>36</v>
      </c>
      <c r="G8" s="1" t="s">
        <v>41</v>
      </c>
      <c r="H8" s="1" t="s">
        <v>112</v>
      </c>
      <c r="I8" s="1" t="s">
        <v>113</v>
      </c>
      <c r="J8" s="1" t="s">
        <v>114</v>
      </c>
    </row>
    <row r="9" spans="3:10" x14ac:dyDescent="0.25">
      <c r="C9" s="1" t="s">
        <v>121</v>
      </c>
      <c r="D9" s="1">
        <v>4</v>
      </c>
      <c r="E9" s="1" t="s">
        <v>33</v>
      </c>
      <c r="F9" s="1" t="s">
        <v>0</v>
      </c>
      <c r="G9" s="1" t="s">
        <v>2</v>
      </c>
      <c r="H9" s="1" t="s">
        <v>16</v>
      </c>
      <c r="I9" s="1" t="s">
        <v>16</v>
      </c>
      <c r="J9" s="1">
        <v>0</v>
      </c>
    </row>
    <row r="10" spans="3:10" x14ac:dyDescent="0.25">
      <c r="C10" s="1" t="s">
        <v>121</v>
      </c>
      <c r="D10" s="1">
        <v>5</v>
      </c>
      <c r="E10" s="1" t="s">
        <v>33</v>
      </c>
      <c r="F10" s="1" t="s">
        <v>0</v>
      </c>
      <c r="G10" s="1" t="s">
        <v>2</v>
      </c>
      <c r="H10" s="1" t="s">
        <v>16</v>
      </c>
      <c r="I10" s="1" t="s">
        <v>16</v>
      </c>
      <c r="J10" s="1">
        <v>0</v>
      </c>
    </row>
    <row r="44" spans="3:3" x14ac:dyDescent="0.25">
      <c r="C44" s="10"/>
    </row>
    <row r="45" spans="3:3" x14ac:dyDescent="0.25">
      <c r="C45" s="10"/>
    </row>
    <row r="46" spans="3:3" x14ac:dyDescent="0.25">
      <c r="C46" s="10"/>
    </row>
    <row r="47" spans="3:3" x14ac:dyDescent="0.25">
      <c r="C47" s="10"/>
    </row>
    <row r="48" spans="3:3" x14ac:dyDescent="0.25">
      <c r="C48" s="10"/>
    </row>
    <row r="49" spans="3:3" x14ac:dyDescent="0.25">
      <c r="C49" s="10"/>
    </row>
    <row r="50" spans="3:3" x14ac:dyDescent="0.25">
      <c r="C50" s="10"/>
    </row>
    <row r="51" spans="3:3" x14ac:dyDescent="0.25">
      <c r="C51" s="10"/>
    </row>
    <row r="52" spans="3:3" x14ac:dyDescent="0.25">
      <c r="C52" s="10"/>
    </row>
    <row r="53" spans="3:3" x14ac:dyDescent="0.25">
      <c r="C53" s="10"/>
    </row>
    <row r="54" spans="3:3" x14ac:dyDescent="0.25">
      <c r="C54" s="10"/>
    </row>
    <row r="55" spans="3:3" x14ac:dyDescent="0.25">
      <c r="C55" s="10"/>
    </row>
    <row r="56" spans="3:3" x14ac:dyDescent="0.25">
      <c r="C56" s="10"/>
    </row>
    <row r="57" spans="3:3" x14ac:dyDescent="0.25">
      <c r="C57" s="10"/>
    </row>
    <row r="58" spans="3:3" x14ac:dyDescent="0.25">
      <c r="C58" s="10"/>
    </row>
    <row r="59" spans="3:3" x14ac:dyDescent="0.25">
      <c r="C59" s="10"/>
    </row>
    <row r="60" spans="3:3" x14ac:dyDescent="0.25">
      <c r="C60" s="10"/>
    </row>
    <row r="61" spans="3:3" x14ac:dyDescent="0.25">
      <c r="C61" s="10"/>
    </row>
    <row r="62" spans="3:3" x14ac:dyDescent="0.25">
      <c r="C62" s="10"/>
    </row>
    <row r="63" spans="3:3" x14ac:dyDescent="0.25">
      <c r="C63" s="10"/>
    </row>
    <row r="64" spans="3:3" x14ac:dyDescent="0.25">
      <c r="C64" s="10"/>
    </row>
    <row r="65" spans="3:3" x14ac:dyDescent="0.25">
      <c r="C65" s="10"/>
    </row>
    <row r="66" spans="3:3" x14ac:dyDescent="0.25">
      <c r="C66" s="10"/>
    </row>
    <row r="67" spans="3:3" x14ac:dyDescent="0.25">
      <c r="C67" s="10"/>
    </row>
    <row r="68" spans="3:3" x14ac:dyDescent="0.25">
      <c r="C68" s="10"/>
    </row>
    <row r="69" spans="3:3" x14ac:dyDescent="0.25">
      <c r="C69" s="10"/>
    </row>
    <row r="70" spans="3:3" x14ac:dyDescent="0.25">
      <c r="C70" s="10"/>
    </row>
    <row r="71" spans="3:3" x14ac:dyDescent="0.25">
      <c r="C71" s="10"/>
    </row>
    <row r="72" spans="3:3" x14ac:dyDescent="0.25">
      <c r="C72" s="10"/>
    </row>
    <row r="73" spans="3:3" x14ac:dyDescent="0.25">
      <c r="C73" s="10"/>
    </row>
    <row r="74" spans="3:3" x14ac:dyDescent="0.25">
      <c r="C74" s="10"/>
    </row>
    <row r="75" spans="3:3" x14ac:dyDescent="0.25">
      <c r="C75" s="10"/>
    </row>
    <row r="76" spans="3:3" x14ac:dyDescent="0.25">
      <c r="C76" s="10"/>
    </row>
    <row r="77" spans="3:3" x14ac:dyDescent="0.25">
      <c r="C77" s="10"/>
    </row>
    <row r="78" spans="3:3" x14ac:dyDescent="0.25">
      <c r="C78" s="10"/>
    </row>
    <row r="79" spans="3:3" x14ac:dyDescent="0.25">
      <c r="C79" s="10"/>
    </row>
    <row r="80" spans="3:3" x14ac:dyDescent="0.25">
      <c r="C80" s="10"/>
    </row>
  </sheetData>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E1:V5"/>
  <sheetViews>
    <sheetView showGridLines="0" showRowColHeaders="0" zoomScale="62" zoomScaleNormal="62" workbookViewId="0"/>
  </sheetViews>
  <sheetFormatPr defaultColWidth="8.85546875" defaultRowHeight="15" x14ac:dyDescent="0.25"/>
  <cols>
    <col min="1" max="1" width="8.85546875" style="48"/>
    <col min="2" max="2" width="10.7109375" style="48" customWidth="1"/>
    <col min="3" max="3" width="11.7109375" style="48" bestFit="1" customWidth="1"/>
    <col min="4" max="4" width="22.28515625" style="48" bestFit="1" customWidth="1"/>
    <col min="5" max="5" width="14.85546875" style="48" bestFit="1" customWidth="1"/>
    <col min="6" max="6" width="14.42578125" style="48" bestFit="1" customWidth="1"/>
    <col min="7" max="7" width="15.5703125" style="48" bestFit="1" customWidth="1"/>
    <col min="8" max="8" width="14.85546875" style="48" bestFit="1" customWidth="1"/>
    <col min="9" max="9" width="20" style="48" bestFit="1" customWidth="1"/>
    <col min="10" max="10" width="79.85546875" style="48" bestFit="1" customWidth="1"/>
    <col min="11" max="11" width="20" style="48" bestFit="1" customWidth="1"/>
    <col min="12" max="12" width="56.7109375" style="48" bestFit="1" customWidth="1"/>
    <col min="13" max="13" width="58.140625" style="48" bestFit="1" customWidth="1"/>
    <col min="14" max="14" width="13.5703125" style="48" bestFit="1" customWidth="1"/>
    <col min="15" max="15" width="66.7109375" style="48" bestFit="1" customWidth="1"/>
    <col min="16" max="16" width="66.42578125" style="48" customWidth="1"/>
    <col min="17" max="17" width="13.42578125" style="48" customWidth="1"/>
    <col min="18" max="18" width="13.7109375" style="48" customWidth="1"/>
    <col min="19" max="19" width="14.140625" style="48" customWidth="1"/>
    <col min="20" max="20" width="13.42578125" style="48" customWidth="1"/>
    <col min="21" max="21" width="15.42578125" style="48" customWidth="1"/>
    <col min="22" max="22" width="19.85546875" style="48" customWidth="1"/>
    <col min="23" max="23" width="13.42578125" style="48" customWidth="1"/>
    <col min="24" max="24" width="15" style="48" customWidth="1"/>
    <col min="25" max="25" width="13.42578125" style="48" customWidth="1"/>
    <col min="26" max="26" width="9.42578125" style="48" customWidth="1"/>
    <col min="27" max="27" width="10.28515625" style="48" customWidth="1"/>
    <col min="28" max="28" width="16.85546875" style="48" customWidth="1"/>
    <col min="29" max="29" width="18.85546875" style="48" customWidth="1"/>
    <col min="30" max="30" width="18.140625" style="48" customWidth="1"/>
    <col min="31" max="31" width="20.28515625" style="48" customWidth="1"/>
    <col min="32" max="32" width="11.7109375" style="48" customWidth="1"/>
    <col min="33" max="33" width="14" style="48" customWidth="1"/>
    <col min="34" max="34" width="11.7109375" style="48" customWidth="1"/>
    <col min="35" max="35" width="13.28515625" style="48" customWidth="1"/>
    <col min="36" max="36" width="13.85546875" style="48" customWidth="1"/>
    <col min="37" max="16384" width="8.85546875" style="48"/>
  </cols>
  <sheetData>
    <row r="1" spans="5:22" s="46" customFormat="1" ht="60" customHeight="1" x14ac:dyDescent="0.25"/>
    <row r="2" spans="5:22" s="47" customFormat="1" ht="24.95" customHeight="1" x14ac:dyDescent="0.25"/>
    <row r="3" spans="5:22" x14ac:dyDescent="0.25">
      <c r="F3" s="146"/>
      <c r="G3" s="150"/>
    </row>
    <row r="4" spans="5:22" x14ac:dyDescent="0.25">
      <c r="E4" s="146"/>
      <c r="F4" s="150"/>
      <c r="G4" s="150"/>
    </row>
    <row r="5" spans="5:22" x14ac:dyDescent="0.25">
      <c r="V5" s="150"/>
    </row>
  </sheetData>
  <sheetProtection sheet="1" objects="1" scenarios="1"/>
  <dataConsolidate/>
  <phoneticPr fontId="58"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
  <sheetViews>
    <sheetView showRowColHeaders="0" zoomScaleNormal="100" workbookViewId="0"/>
  </sheetViews>
  <sheetFormatPr defaultColWidth="9.140625" defaultRowHeight="15" x14ac:dyDescent="0.25"/>
  <cols>
    <col min="1" max="16384" width="9.140625" style="1"/>
  </cols>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B3:C4"/>
  <sheetViews>
    <sheetView showRowColHeaders="0" zoomScaleNormal="100" workbookViewId="0"/>
  </sheetViews>
  <sheetFormatPr defaultColWidth="9.140625" defaultRowHeight="15" x14ac:dyDescent="0.25"/>
  <cols>
    <col min="1" max="1" width="9.140625" style="1"/>
    <col min="2" max="2" width="10.7109375" style="1" bestFit="1" customWidth="1"/>
    <col min="3" max="3" width="136.28515625" style="1" customWidth="1"/>
    <col min="4" max="16384" width="9.140625" style="1"/>
  </cols>
  <sheetData>
    <row r="3" spans="2:3" x14ac:dyDescent="0.25">
      <c r="B3" s="11">
        <v>43312</v>
      </c>
      <c r="C3" s="1" t="s">
        <v>313</v>
      </c>
    </row>
    <row r="4" spans="2:3" x14ac:dyDescent="0.25">
      <c r="C4" s="1" t="s">
        <v>314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Int">
    <tabColor theme="1" tint="4.9989318521683403E-2"/>
  </sheetPr>
  <dimension ref="A1:J60"/>
  <sheetViews>
    <sheetView showRowColHeaders="0" zoomScaleNormal="100" workbookViewId="0">
      <selection activeCell="B2" sqref="B2"/>
    </sheetView>
  </sheetViews>
  <sheetFormatPr defaultColWidth="9.140625" defaultRowHeight="15" x14ac:dyDescent="0.25"/>
  <cols>
    <col min="1" max="1" width="33.7109375" style="1" customWidth="1"/>
    <col min="2" max="2" width="25.42578125" style="1" customWidth="1"/>
    <col min="3" max="3" width="11.85546875" style="1" customWidth="1"/>
    <col min="4" max="4" width="8.42578125" style="1" customWidth="1"/>
    <col min="5" max="8" width="10.28515625" style="1" customWidth="1"/>
    <col min="9" max="16384" width="9.140625" style="1"/>
  </cols>
  <sheetData>
    <row r="1" spans="1:8" ht="30" x14ac:dyDescent="0.25">
      <c r="A1" s="12" t="s">
        <v>61</v>
      </c>
      <c r="B1" s="13" t="s">
        <v>340</v>
      </c>
    </row>
    <row r="3" spans="1:8" x14ac:dyDescent="0.25">
      <c r="C3" s="7" t="s">
        <v>12</v>
      </c>
      <c r="D3" s="7" t="s">
        <v>17</v>
      </c>
      <c r="E3" s="189" t="s">
        <v>13</v>
      </c>
      <c r="F3" s="189"/>
      <c r="G3" s="189"/>
      <c r="H3" s="189"/>
    </row>
    <row r="4" spans="1:8" x14ac:dyDescent="0.25">
      <c r="A4" s="12" t="s">
        <v>8</v>
      </c>
      <c r="B4" s="14" t="s">
        <v>5</v>
      </c>
      <c r="C4" s="6" t="e">
        <f>COUNTIF(InputMetaRow,AttributeLabel)</f>
        <v>#REF!</v>
      </c>
      <c r="D4" s="6" t="e">
        <f>C4&gt;0</f>
        <v>#REF!</v>
      </c>
      <c r="E4" s="191" t="s">
        <v>15</v>
      </c>
      <c r="F4" s="192"/>
      <c r="G4" s="192"/>
      <c r="H4" s="193"/>
    </row>
    <row r="5" spans="1:8" x14ac:dyDescent="0.25">
      <c r="B5" s="14" t="s">
        <v>7</v>
      </c>
      <c r="C5" s="6" t="e">
        <f>COUNTIF(InputMetaRow,B5)</f>
        <v>#REF!</v>
      </c>
      <c r="D5" s="15" t="s">
        <v>16</v>
      </c>
      <c r="E5" s="194"/>
      <c r="F5" s="194"/>
      <c r="G5" s="194"/>
      <c r="H5" s="194"/>
    </row>
    <row r="6" spans="1:8" x14ac:dyDescent="0.25">
      <c r="B6" s="14" t="s">
        <v>22</v>
      </c>
      <c r="C6" s="6" t="e">
        <f>COUNTIF(InputMetaRow,B6)</f>
        <v>#REF!</v>
      </c>
      <c r="D6" s="6" t="e">
        <f>C6=1</f>
        <v>#REF!</v>
      </c>
      <c r="E6" s="190" t="s">
        <v>14</v>
      </c>
      <c r="F6" s="190"/>
      <c r="G6" s="190"/>
      <c r="H6" s="190"/>
    </row>
    <row r="7" spans="1:8" x14ac:dyDescent="0.25">
      <c r="B7" s="14" t="s">
        <v>6</v>
      </c>
      <c r="C7" s="6" t="e">
        <f>COUNTIF(InputMetaRow,B7)</f>
        <v>#REF!</v>
      </c>
      <c r="D7" s="6" t="e">
        <f>C7=1</f>
        <v>#REF!</v>
      </c>
      <c r="E7" s="190" t="s">
        <v>18</v>
      </c>
      <c r="F7" s="190"/>
      <c r="G7" s="190"/>
      <c r="H7" s="190"/>
    </row>
    <row r="9" spans="1:8" x14ac:dyDescent="0.25">
      <c r="A9" s="12" t="s">
        <v>19</v>
      </c>
      <c r="B9" s="14">
        <f>SUMPRODUCT(--(ISERROR(MATCH(InputMetaRow,InputColumnTypes,0))))</f>
        <v>1</v>
      </c>
      <c r="C9" s="1" t="s">
        <v>20</v>
      </c>
    </row>
    <row r="10" spans="1:8" x14ac:dyDescent="0.25">
      <c r="C10" s="1" t="s">
        <v>21</v>
      </c>
    </row>
    <row r="11" spans="1:8" x14ac:dyDescent="0.25">
      <c r="A11" s="12" t="s">
        <v>9</v>
      </c>
      <c r="B11" s="16" t="s">
        <v>5</v>
      </c>
    </row>
    <row r="12" spans="1:8" x14ac:dyDescent="0.25">
      <c r="A12" s="12" t="s">
        <v>11</v>
      </c>
      <c r="B12" s="16" t="s">
        <v>22</v>
      </c>
    </row>
    <row r="13" spans="1:8" x14ac:dyDescent="0.25">
      <c r="A13" s="12" t="s">
        <v>10</v>
      </c>
      <c r="B13" s="16" t="s">
        <v>6</v>
      </c>
    </row>
    <row r="15" spans="1:8" x14ac:dyDescent="0.25">
      <c r="A15" s="12" t="s">
        <v>29</v>
      </c>
      <c r="B15" s="16" t="s">
        <v>1</v>
      </c>
    </row>
    <row r="16" spans="1:8" x14ac:dyDescent="0.25">
      <c r="A16" s="12" t="s">
        <v>28</v>
      </c>
      <c r="B16" s="16" t="s">
        <v>6</v>
      </c>
    </row>
    <row r="18" spans="1:2" x14ac:dyDescent="0.25">
      <c r="A18" s="12" t="s">
        <v>27</v>
      </c>
      <c r="B18" s="17">
        <v>0</v>
      </c>
    </row>
    <row r="19" spans="1:2" x14ac:dyDescent="0.25">
      <c r="B19" s="17">
        <v>1</v>
      </c>
    </row>
    <row r="20" spans="1:2" x14ac:dyDescent="0.25">
      <c r="B20" s="18" t="s">
        <v>16</v>
      </c>
    </row>
    <row r="22" spans="1:2" x14ac:dyDescent="0.25">
      <c r="A22" s="12" t="s">
        <v>26</v>
      </c>
      <c r="B22" s="19" t="s">
        <v>16</v>
      </c>
    </row>
    <row r="23" spans="1:2" x14ac:dyDescent="0.25">
      <c r="A23" s="12" t="s">
        <v>35</v>
      </c>
      <c r="B23" s="19" t="s">
        <v>16</v>
      </c>
    </row>
    <row r="25" spans="1:2" x14ac:dyDescent="0.25">
      <c r="A25" s="12" t="s">
        <v>30</v>
      </c>
      <c r="B25" s="14" t="s">
        <v>34</v>
      </c>
    </row>
    <row r="26" spans="1:2" x14ac:dyDescent="0.25">
      <c r="A26" s="12" t="s">
        <v>31</v>
      </c>
      <c r="B26" s="14" t="s">
        <v>123</v>
      </c>
    </row>
    <row r="27" spans="1:2" x14ac:dyDescent="0.25">
      <c r="A27" s="12" t="s">
        <v>32</v>
      </c>
      <c r="B27" s="14" t="s">
        <v>33</v>
      </c>
    </row>
    <row r="28" spans="1:2" x14ac:dyDescent="0.25">
      <c r="A28" s="12" t="s">
        <v>186</v>
      </c>
      <c r="B28" s="14" t="s">
        <v>239</v>
      </c>
    </row>
    <row r="29" spans="1:2" x14ac:dyDescent="0.25">
      <c r="A29" s="12" t="s">
        <v>244</v>
      </c>
      <c r="B29" s="14" t="s">
        <v>240</v>
      </c>
    </row>
    <row r="30" spans="1:2" x14ac:dyDescent="0.25">
      <c r="A30" s="12" t="s">
        <v>245</v>
      </c>
      <c r="B30" s="14" t="s">
        <v>241</v>
      </c>
    </row>
    <row r="31" spans="1:2" x14ac:dyDescent="0.25">
      <c r="A31" s="12" t="s">
        <v>246</v>
      </c>
      <c r="B31" s="14" t="s">
        <v>242</v>
      </c>
    </row>
    <row r="32" spans="1:2" x14ac:dyDescent="0.25">
      <c r="A32" s="12" t="s">
        <v>247</v>
      </c>
      <c r="B32" s="14" t="s">
        <v>243</v>
      </c>
    </row>
    <row r="34" spans="1:10" x14ac:dyDescent="0.25">
      <c r="A34" s="12" t="s">
        <v>39</v>
      </c>
      <c r="B34" s="14" t="s">
        <v>2</v>
      </c>
      <c r="C34" s="1" t="s">
        <v>40</v>
      </c>
    </row>
    <row r="35" spans="1:10" x14ac:dyDescent="0.25">
      <c r="B35" s="14" t="s">
        <v>3</v>
      </c>
    </row>
    <row r="37" spans="1:10" x14ac:dyDescent="0.25">
      <c r="A37" s="12" t="s">
        <v>115</v>
      </c>
      <c r="B37" s="16">
        <v>10000</v>
      </c>
      <c r="C37" s="1" t="s">
        <v>116</v>
      </c>
    </row>
    <row r="39" spans="1:10" x14ac:dyDescent="0.25">
      <c r="A39" s="12" t="s">
        <v>180</v>
      </c>
      <c r="B39" s="16">
        <v>5</v>
      </c>
      <c r="C39" s="1" t="s">
        <v>179</v>
      </c>
    </row>
    <row r="41" spans="1:10" x14ac:dyDescent="0.25">
      <c r="A41" s="12" t="s">
        <v>208</v>
      </c>
      <c r="B41" s="20" t="s">
        <v>209</v>
      </c>
      <c r="C41" s="21"/>
      <c r="D41" s="21"/>
      <c r="E41" s="21"/>
      <c r="F41" s="21"/>
      <c r="G41" s="21"/>
      <c r="H41" s="21"/>
      <c r="I41" s="21"/>
      <c r="J41" s="21"/>
    </row>
    <row r="42" spans="1:10" x14ac:dyDescent="0.25">
      <c r="A42" s="12" t="s">
        <v>210</v>
      </c>
      <c r="B42" s="14" t="s">
        <v>211</v>
      </c>
    </row>
    <row r="43" spans="1:10" ht="60" x14ac:dyDescent="0.25">
      <c r="A43" s="22" t="s">
        <v>213</v>
      </c>
      <c r="B43" s="23">
        <v>0</v>
      </c>
      <c r="C43" s="3" t="s">
        <v>214</v>
      </c>
    </row>
    <row r="45" spans="1:10" x14ac:dyDescent="0.25">
      <c r="A45" s="12" t="s">
        <v>298</v>
      </c>
      <c r="B45" s="16">
        <v>0</v>
      </c>
    </row>
    <row r="47" spans="1:10" x14ac:dyDescent="0.25">
      <c r="A47" s="12" t="s">
        <v>299</v>
      </c>
      <c r="B47" s="16">
        <f>SUM('Decision Tree'!CV:CV)</f>
        <v>0</v>
      </c>
    </row>
    <row r="48" spans="1:10" x14ac:dyDescent="0.25">
      <c r="A48" s="12" t="s">
        <v>300</v>
      </c>
      <c r="B48" s="16">
        <f>SUM('Decision Tree'!CY:CY)</f>
        <v>0</v>
      </c>
    </row>
    <row r="49" spans="1:2" x14ac:dyDescent="0.25">
      <c r="A49" s="12" t="s">
        <v>301</v>
      </c>
      <c r="B49" s="16">
        <f>SUM('Decision Tree'!CW:CW)</f>
        <v>0</v>
      </c>
    </row>
    <row r="50" spans="1:2" x14ac:dyDescent="0.25">
      <c r="A50" s="12" t="s">
        <v>302</v>
      </c>
      <c r="B50" s="16">
        <f>SUM('Decision Tree'!CX:CX)</f>
        <v>0</v>
      </c>
    </row>
    <row r="52" spans="1:2" x14ac:dyDescent="0.25">
      <c r="A52" s="12" t="s">
        <v>303</v>
      </c>
      <c r="B52" s="12" t="s">
        <v>0</v>
      </c>
    </row>
    <row r="53" spans="1:2" x14ac:dyDescent="0.25">
      <c r="A53" s="12" t="s">
        <v>0</v>
      </c>
      <c r="B53" s="16" t="e">
        <f>(B47+B48)/(SUM(B47:B50))</f>
        <v>#DIV/0!</v>
      </c>
    </row>
    <row r="54" spans="1:2" x14ac:dyDescent="0.25">
      <c r="A54" s="12" t="s">
        <v>190</v>
      </c>
      <c r="B54" s="16" t="e">
        <f>((B47/(B47+B50))+(B48/(B48+B49)))/2</f>
        <v>#DIV/0!</v>
      </c>
    </row>
    <row r="55" spans="1:2" x14ac:dyDescent="0.25">
      <c r="A55" s="12" t="s">
        <v>304</v>
      </c>
      <c r="B55" s="16" t="e">
        <f>2*((B59*B58)/(B59+B58))</f>
        <v>#DIV/0!</v>
      </c>
    </row>
    <row r="56" spans="1:2" x14ac:dyDescent="0.25">
      <c r="A56" s="12" t="s">
        <v>254</v>
      </c>
      <c r="B56" s="16" t="e">
        <f>(B47*B48-B49*B50)/SQRT((B47+B49)*(B47+B50)*(B48+B49)*(B48+B50))</f>
        <v>#DIV/0!</v>
      </c>
    </row>
    <row r="57" spans="1:2" x14ac:dyDescent="0.25">
      <c r="A57" s="12" t="s">
        <v>253</v>
      </c>
      <c r="B57" s="16" t="e">
        <f>1 -(1-((B50/(B50+B48))^2)-((B48/(B50+B48))^2))*(B50+B48)/SUM(B47:B50) - (1-((B49/(B49+B47))^2)-((B47/(B49+B47))^2)) * (B47+B49)/SUM(B47:B50)</f>
        <v>#DIV/0!</v>
      </c>
    </row>
    <row r="58" spans="1:2" x14ac:dyDescent="0.25">
      <c r="A58" s="12" t="s">
        <v>236</v>
      </c>
      <c r="B58" s="16" t="e">
        <f>B47/(B47+B50)</f>
        <v>#DIV/0!</v>
      </c>
    </row>
    <row r="59" spans="1:2" x14ac:dyDescent="0.25">
      <c r="A59" s="12" t="s">
        <v>237</v>
      </c>
      <c r="B59" s="16" t="e">
        <f>B47/(B47+B49)</f>
        <v>#DIV/0!</v>
      </c>
    </row>
    <row r="60" spans="1:2" x14ac:dyDescent="0.25">
      <c r="B60" s="1" t="str">
        <f>IFERROR(MeasureName&amp;": "&amp;TEXT(VLOOKUP(MeasureName,A53:B59,2,FALSE),"0.00%")&amp;"      True Positive: "&amp;TEXT(B47/SUM(B47:B50),"0.00%")&amp;"      True Negative: "&amp;TEXT(B48/SUM(B47:B50),"0.00%")&amp;"      False Positive: "&amp;TEXT(B49/SUM(B47:B50),"0.00%")&amp;"      False Negative: "&amp;TEXT(B50/SUM(B47:B50),"0.00%"),"")</f>
        <v/>
      </c>
    </row>
  </sheetData>
  <mergeCells count="5">
    <mergeCell ref="E3:H3"/>
    <mergeCell ref="E6:H6"/>
    <mergeCell ref="E7:H7"/>
    <mergeCell ref="E4:H4"/>
    <mergeCell ref="E5:H5"/>
  </mergeCells>
  <dataValidations xWindow="274" yWindow="457" count="3">
    <dataValidation type="list" allowBlank="1" showInputMessage="1" showErrorMessage="1" sqref="B11:B16" xr:uid="{00000000-0002-0000-0F00-000000000000}">
      <formula1>InputColumnTypes</formula1>
    </dataValidation>
    <dataValidation type="list" allowBlank="1" showInputMessage="1" showErrorMessage="1" sqref="D10" xr:uid="{00000000-0002-0000-0F00-000001000000}">
      <formula1>ModelConfigOptions</formula1>
    </dataValidation>
    <dataValidation type="list" allowBlank="1" showInputMessage="1" showErrorMessage="1" promptTitle="EC3 Input Value" prompt="Select tone of the values" sqref="B22:B23" xr:uid="{00000000-0002-0000-0F00-000002000000}">
      <formula1>ModelConfigOptions</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theme="1" tint="4.9989318521683403E-2"/>
  </sheetPr>
  <dimension ref="A1"/>
  <sheetViews>
    <sheetView showRowColHeaders="0" zoomScaleNormal="100" workbookViewId="0"/>
  </sheetViews>
  <sheetFormatPr defaultColWidth="21" defaultRowHeight="15" x14ac:dyDescent="0.25"/>
  <cols>
    <col min="1" max="2" width="21" style="1"/>
    <col min="3" max="3" width="8.28515625" style="1" bestFit="1" customWidth="1"/>
    <col min="4" max="4" width="13.7109375" style="1" bestFit="1" customWidth="1"/>
    <col min="5" max="5" width="17.85546875" style="1" bestFit="1" customWidth="1"/>
    <col min="6" max="6" width="9.5703125" style="1" bestFit="1" customWidth="1"/>
    <col min="7" max="7" width="17.7109375" style="1" bestFit="1" customWidth="1"/>
    <col min="8" max="8" width="29.85546875" style="1" bestFit="1" customWidth="1"/>
    <col min="9" max="9" width="23" style="1" bestFit="1" customWidth="1"/>
    <col min="10" max="10" width="11.42578125" style="1" bestFit="1" customWidth="1"/>
    <col min="11" max="12" width="8.7109375" style="1" bestFit="1" customWidth="1"/>
    <col min="13" max="13" width="8.28515625" style="1" bestFit="1" customWidth="1"/>
    <col min="14" max="14" width="6" style="1" bestFit="1" customWidth="1"/>
    <col min="15" max="15" width="11.42578125" style="1" bestFit="1" customWidth="1"/>
    <col min="16" max="22" width="12.140625" style="1" bestFit="1" customWidth="1"/>
    <col min="23" max="23" width="11.42578125" style="1" bestFit="1" customWidth="1"/>
    <col min="24" max="24" width="22.140625" style="1" bestFit="1" customWidth="1"/>
    <col min="25" max="25" width="37" style="1" bestFit="1" customWidth="1"/>
    <col min="26" max="26" width="15" style="1" bestFit="1" customWidth="1"/>
    <col min="27" max="27" width="19.7109375" style="1" bestFit="1" customWidth="1"/>
    <col min="28" max="28" width="34.28515625" style="1" bestFit="1" customWidth="1"/>
    <col min="29" max="29" width="12.85546875" style="1" bestFit="1" customWidth="1"/>
    <col min="30" max="30" width="20.7109375" style="1" bestFit="1" customWidth="1"/>
    <col min="31" max="31" width="26" style="1" bestFit="1" customWidth="1"/>
    <col min="32" max="32" width="20.140625" style="1" bestFit="1" customWidth="1"/>
    <col min="33" max="33" width="14.42578125" style="1" bestFit="1" customWidth="1"/>
    <col min="34" max="34" width="44.7109375" style="1" bestFit="1" customWidth="1"/>
    <col min="35" max="35" width="13" style="1" bestFit="1" customWidth="1"/>
    <col min="36" max="36" width="8.85546875" style="1" bestFit="1" customWidth="1"/>
    <col min="37" max="37" width="32.140625" style="1" bestFit="1" customWidth="1"/>
    <col min="38" max="38" width="11.42578125" style="1" bestFit="1" customWidth="1"/>
    <col min="39" max="42" width="8.42578125" style="1" bestFit="1" customWidth="1"/>
    <col min="43" max="45" width="9.42578125" style="1" bestFit="1" customWidth="1"/>
    <col min="46" max="54" width="8.42578125" style="1" bestFit="1" customWidth="1"/>
    <col min="55" max="60" width="9.42578125" style="1" bestFit="1" customWidth="1"/>
    <col min="61" max="69" width="10.28515625" style="1" bestFit="1" customWidth="1"/>
    <col min="70" max="75" width="11.42578125" style="1" bestFit="1" customWidth="1"/>
    <col min="76" max="84" width="10.28515625" style="1" bestFit="1" customWidth="1"/>
    <col min="85" max="90" width="11.42578125" style="1" bestFit="1" customWidth="1"/>
    <col min="91" max="99" width="8.42578125" style="1" bestFit="1" customWidth="1"/>
    <col min="100" max="105" width="9.42578125" style="1" bestFit="1" customWidth="1"/>
    <col min="106" max="114" width="8.42578125" style="1" bestFit="1" customWidth="1"/>
    <col min="115" max="123" width="9.42578125" style="1" bestFit="1" customWidth="1"/>
    <col min="124" max="124" width="11.42578125" style="1" bestFit="1" customWidth="1"/>
    <col min="125" max="16384" width="21" style="1"/>
  </cols>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4">
    <tabColor theme="1" tint="4.9989318521683403E-2"/>
  </sheetPr>
  <dimension ref="B1:DP2"/>
  <sheetViews>
    <sheetView showRowColHeaders="0" zoomScaleNormal="100" workbookViewId="0">
      <selection activeCell="J6" sqref="J6:J31"/>
    </sheetView>
  </sheetViews>
  <sheetFormatPr defaultColWidth="9.140625" defaultRowHeight="15" x14ac:dyDescent="0.25"/>
  <cols>
    <col min="1" max="1" width="9.140625" style="1"/>
    <col min="2" max="2" width="64.42578125" style="1" customWidth="1"/>
    <col min="3" max="3" width="51.28515625" style="1" customWidth="1"/>
    <col min="4" max="4" width="47.42578125" style="1" customWidth="1"/>
    <col min="5" max="5" width="60.42578125" style="1" customWidth="1"/>
    <col min="6" max="6" width="43" style="1" customWidth="1"/>
    <col min="7" max="7" width="60.42578125" style="1" customWidth="1"/>
    <col min="8" max="8" width="51.85546875" style="1" customWidth="1"/>
    <col min="9" max="9" width="63" style="1" customWidth="1"/>
    <col min="10" max="10" width="73.42578125" style="1" customWidth="1"/>
    <col min="11" max="11" width="47.42578125" style="1" customWidth="1"/>
    <col min="12" max="12" width="52.42578125" style="1" customWidth="1"/>
    <col min="13" max="13" width="57.28515625" style="1" customWidth="1"/>
    <col min="14" max="14" width="73.42578125" style="1" customWidth="1"/>
    <col min="15" max="15" width="62.7109375" style="1" customWidth="1"/>
    <col min="16" max="16" width="73.140625" style="1" customWidth="1"/>
    <col min="17" max="17" width="73.42578125" style="1" customWidth="1"/>
    <col min="18" max="18" width="19.7109375" style="1" customWidth="1"/>
    <col min="19" max="19" width="25.140625" style="1" customWidth="1"/>
    <col min="20" max="20" width="19.85546875" style="1" customWidth="1"/>
    <col min="21" max="21" width="21.7109375" style="1" customWidth="1"/>
    <col min="22" max="22" width="36" style="1" customWidth="1"/>
    <col min="23" max="23" width="17.28515625" style="1" customWidth="1"/>
    <col min="24" max="24" width="19.28515625" style="1" customWidth="1"/>
    <col min="25" max="25" width="33.42578125" style="1" customWidth="1"/>
    <col min="26" max="26" width="16.85546875" style="1" customWidth="1"/>
    <col min="27" max="27" width="20.28515625" style="1" customWidth="1"/>
    <col min="28" max="28" width="25.42578125" style="1" customWidth="1"/>
    <col min="29" max="29" width="20.28515625" style="1" customWidth="1"/>
    <col min="30" max="30" width="14.28515625" style="1" customWidth="1"/>
    <col min="31" max="31" width="43.42578125" style="1" customWidth="1"/>
    <col min="32" max="32" width="12.85546875" style="1" customWidth="1"/>
    <col min="33" max="33" width="13.28515625" style="1" customWidth="1"/>
    <col min="34" max="34" width="31.28515625" style="1" customWidth="1"/>
    <col min="35" max="35" width="10.7109375" style="1" customWidth="1"/>
    <col min="36" max="36" width="11.28515625" style="1" customWidth="1"/>
    <col min="37" max="38" width="17.28515625" style="1" customWidth="1"/>
    <col min="39" max="39" width="9.140625" style="1"/>
    <col min="40" max="42" width="9.28515625" style="1" customWidth="1"/>
    <col min="43" max="51" width="9.140625" style="1"/>
    <col min="52" max="57" width="9.28515625" style="1" customWidth="1"/>
    <col min="58" max="66" width="10.28515625" style="1" customWidth="1"/>
    <col min="67" max="72" width="11.28515625" style="1" customWidth="1"/>
    <col min="73" max="81" width="10.28515625" style="1" customWidth="1"/>
    <col min="82" max="87" width="11.28515625" style="1" customWidth="1"/>
    <col min="88" max="96" width="9.140625" style="1"/>
    <col min="97" max="102" width="9.28515625" style="1" customWidth="1"/>
    <col min="103" max="111" width="9.140625" style="1"/>
    <col min="112" max="120" width="9.28515625" style="1" customWidth="1"/>
    <col min="121" max="121" width="9.140625" style="1"/>
    <col min="122" max="122" width="10.7109375" style="1" customWidth="1"/>
    <col min="123" max="123" width="11.28515625" style="1" customWidth="1"/>
    <col min="124" max="124" width="17.28515625" style="1" customWidth="1"/>
    <col min="125" max="16384" width="9.140625" style="1"/>
  </cols>
  <sheetData>
    <row r="1" spans="2:120" ht="15.75" thickBot="1" x14ac:dyDescent="0.3">
      <c r="B1" s="24"/>
      <c r="C1" s="24"/>
      <c r="D1" s="24"/>
      <c r="E1" s="24"/>
      <c r="F1" s="25"/>
      <c r="G1" s="24"/>
      <c r="J1" s="24"/>
      <c r="K1" s="25"/>
      <c r="O1" s="24"/>
      <c r="P1" s="24"/>
      <c r="Q1" s="24"/>
      <c r="R1" s="24"/>
      <c r="S1" s="25"/>
      <c r="T1" s="24"/>
      <c r="W1" s="24"/>
      <c r="X1" s="24"/>
      <c r="Y1" s="24"/>
      <c r="Z1" s="24"/>
      <c r="AA1" s="24"/>
      <c r="AB1" s="24"/>
      <c r="AC1" s="24"/>
      <c r="AD1" s="24"/>
      <c r="AE1" s="24"/>
      <c r="AF1" s="24"/>
      <c r="AG1" s="24"/>
      <c r="AH1" s="25"/>
      <c r="AI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4"/>
      <c r="CC1" s="24"/>
      <c r="CD1" s="24"/>
      <c r="CE1" s="24"/>
      <c r="CF1" s="24"/>
      <c r="CG1" s="24"/>
      <c r="CH1" s="24"/>
      <c r="CI1" s="24"/>
      <c r="CJ1" s="24"/>
      <c r="CK1" s="24"/>
      <c r="CL1" s="24"/>
      <c r="CM1" s="24"/>
      <c r="CN1" s="24"/>
      <c r="CO1" s="24"/>
      <c r="CP1" s="24"/>
      <c r="CQ1" s="24"/>
      <c r="CR1" s="24"/>
      <c r="CS1" s="24"/>
      <c r="CT1" s="24"/>
      <c r="CU1" s="24"/>
      <c r="CV1" s="24"/>
      <c r="CW1" s="24"/>
      <c r="CX1" s="24"/>
      <c r="CY1" s="24"/>
      <c r="CZ1" s="24"/>
      <c r="DA1" s="24"/>
      <c r="DB1" s="24"/>
      <c r="DC1" s="24"/>
      <c r="DD1" s="24"/>
      <c r="DE1" s="24"/>
      <c r="DF1" s="24"/>
      <c r="DG1" s="24"/>
      <c r="DH1" s="24"/>
      <c r="DI1" s="24"/>
      <c r="DJ1" s="24"/>
      <c r="DK1" s="24"/>
      <c r="DL1" s="24"/>
      <c r="DM1" s="24"/>
      <c r="DN1" s="24"/>
      <c r="DO1" s="24"/>
      <c r="DP1" s="26"/>
    </row>
    <row r="2" spans="2:120" ht="15.75" thickTop="1" x14ac:dyDescent="0.25"/>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tabColor theme="1" tint="4.9989318521683403E-2"/>
  </sheetPr>
  <dimension ref="B1:E60"/>
  <sheetViews>
    <sheetView topLeftCell="A45" zoomScaleNormal="100" workbookViewId="0">
      <selection activeCell="D8" sqref="D8"/>
    </sheetView>
  </sheetViews>
  <sheetFormatPr defaultColWidth="9.140625" defaultRowHeight="15" x14ac:dyDescent="0.25"/>
  <cols>
    <col min="1" max="1" width="9.140625" style="2"/>
    <col min="2" max="2" width="17.140625" style="40" customWidth="1"/>
    <col min="3" max="3" width="33.140625" style="2" customWidth="1"/>
    <col min="4" max="4" width="84.42578125" style="2" customWidth="1"/>
    <col min="5" max="5" width="21.7109375" style="2" customWidth="1"/>
    <col min="6" max="16384" width="9.140625" style="2"/>
  </cols>
  <sheetData>
    <row r="1" spans="2:5" s="28" customFormat="1" ht="60" customHeight="1" x14ac:dyDescent="0.25">
      <c r="B1" s="27"/>
    </row>
    <row r="2" spans="2:5" s="30" customFormat="1" ht="27.75" customHeight="1" x14ac:dyDescent="0.25">
      <c r="B2" s="29"/>
    </row>
    <row r="4" spans="2:5" x14ac:dyDescent="0.25">
      <c r="B4" s="1" t="s">
        <v>84</v>
      </c>
      <c r="C4" s="1" t="s">
        <v>49</v>
      </c>
      <c r="D4" s="2" t="s">
        <v>88</v>
      </c>
      <c r="E4" s="2" t="s">
        <v>79</v>
      </c>
    </row>
    <row r="5" spans="2:5" ht="135" x14ac:dyDescent="0.25">
      <c r="B5" s="2" t="s">
        <v>222</v>
      </c>
      <c r="C5" s="2" t="s">
        <v>178</v>
      </c>
      <c r="D5" s="3" t="s">
        <v>288</v>
      </c>
      <c r="E5" s="2" t="s">
        <v>81</v>
      </c>
    </row>
    <row r="6" spans="2:5" x14ac:dyDescent="0.25">
      <c r="B6" s="2" t="s">
        <v>222</v>
      </c>
      <c r="C6" s="2" t="s">
        <v>223</v>
      </c>
      <c r="D6" s="31" t="s">
        <v>231</v>
      </c>
      <c r="E6" s="2" t="s">
        <v>224</v>
      </c>
    </row>
    <row r="7" spans="2:5" x14ac:dyDescent="0.25">
      <c r="B7" s="2" t="s">
        <v>222</v>
      </c>
      <c r="C7" s="2" t="s">
        <v>338</v>
      </c>
      <c r="D7" s="151" t="s">
        <v>339</v>
      </c>
      <c r="E7" s="152" t="s">
        <v>224</v>
      </c>
    </row>
    <row r="8" spans="2:5" x14ac:dyDescent="0.25">
      <c r="B8" s="2" t="s">
        <v>222</v>
      </c>
      <c r="C8" s="2" t="s">
        <v>225</v>
      </c>
      <c r="D8" s="2" t="s">
        <v>228</v>
      </c>
      <c r="E8" s="2" t="s">
        <v>224</v>
      </c>
    </row>
    <row r="9" spans="2:5" x14ac:dyDescent="0.25">
      <c r="B9" s="2" t="s">
        <v>222</v>
      </c>
      <c r="C9" s="2" t="s">
        <v>226</v>
      </c>
      <c r="D9" s="2" t="s">
        <v>227</v>
      </c>
      <c r="E9" s="2" t="s">
        <v>224</v>
      </c>
    </row>
    <row r="10" spans="2:5" ht="150" x14ac:dyDescent="0.25">
      <c r="B10" s="2" t="s">
        <v>182</v>
      </c>
      <c r="C10" s="2" t="s">
        <v>181</v>
      </c>
      <c r="D10" s="3" t="s">
        <v>184</v>
      </c>
      <c r="E10" s="2" t="s">
        <v>81</v>
      </c>
    </row>
    <row r="11" spans="2:5" ht="75" x14ac:dyDescent="0.25">
      <c r="B11" s="2" t="s">
        <v>182</v>
      </c>
      <c r="C11" s="2" t="s">
        <v>183</v>
      </c>
      <c r="D11" s="3" t="s">
        <v>185</v>
      </c>
      <c r="E11" s="2" t="s">
        <v>80</v>
      </c>
    </row>
    <row r="12" spans="2:5" ht="60" x14ac:dyDescent="0.25">
      <c r="B12" s="2" t="s">
        <v>182</v>
      </c>
      <c r="C12" s="2" t="s">
        <v>187</v>
      </c>
      <c r="D12" s="3" t="s">
        <v>188</v>
      </c>
      <c r="E12" s="2" t="s">
        <v>80</v>
      </c>
    </row>
    <row r="13" spans="2:5" ht="45" x14ac:dyDescent="0.25">
      <c r="B13" s="2" t="s">
        <v>78</v>
      </c>
      <c r="C13" s="2" t="s">
        <v>66</v>
      </c>
      <c r="D13" s="3" t="s">
        <v>275</v>
      </c>
      <c r="E13" s="2" t="s">
        <v>77</v>
      </c>
    </row>
    <row r="14" spans="2:5" ht="45" x14ac:dyDescent="0.25">
      <c r="B14" s="2" t="s">
        <v>78</v>
      </c>
      <c r="C14" s="2" t="s">
        <v>118</v>
      </c>
      <c r="D14" s="3" t="s">
        <v>276</v>
      </c>
      <c r="E14" s="2" t="s">
        <v>77</v>
      </c>
    </row>
    <row r="15" spans="2:5" ht="150" x14ac:dyDescent="0.25">
      <c r="B15" s="2" t="s">
        <v>78</v>
      </c>
      <c r="C15" s="2" t="s">
        <v>89</v>
      </c>
      <c r="D15" s="3" t="s">
        <v>267</v>
      </c>
      <c r="E15" s="2" t="s">
        <v>87</v>
      </c>
    </row>
    <row r="16" spans="2:5" ht="210" x14ac:dyDescent="0.25">
      <c r="B16" s="2" t="s">
        <v>78</v>
      </c>
      <c r="C16" s="2" t="s">
        <v>52</v>
      </c>
      <c r="D16" s="32" t="s">
        <v>266</v>
      </c>
      <c r="E16" s="2" t="s">
        <v>81</v>
      </c>
    </row>
    <row r="17" spans="2:5" ht="330" x14ac:dyDescent="0.25">
      <c r="B17" s="2" t="s">
        <v>78</v>
      </c>
      <c r="C17" s="2" t="s">
        <v>62</v>
      </c>
      <c r="D17" s="3" t="s">
        <v>281</v>
      </c>
      <c r="E17" s="2" t="s">
        <v>80</v>
      </c>
    </row>
    <row r="18" spans="2:5" ht="60" x14ac:dyDescent="0.25">
      <c r="B18" s="2" t="s">
        <v>78</v>
      </c>
      <c r="C18" s="2" t="s">
        <v>119</v>
      </c>
      <c r="D18" s="3" t="s">
        <v>272</v>
      </c>
      <c r="E18" s="2" t="s">
        <v>77</v>
      </c>
    </row>
    <row r="19" spans="2:5" x14ac:dyDescent="0.25">
      <c r="B19" s="2" t="s">
        <v>78</v>
      </c>
      <c r="C19" s="2" t="s">
        <v>73</v>
      </c>
      <c r="D19" s="2" t="s">
        <v>104</v>
      </c>
      <c r="E19" s="2" t="s">
        <v>77</v>
      </c>
    </row>
    <row r="20" spans="2:5" x14ac:dyDescent="0.25">
      <c r="B20" s="2" t="s">
        <v>78</v>
      </c>
      <c r="C20" s="2" t="s">
        <v>76</v>
      </c>
      <c r="D20" s="2" t="s">
        <v>105</v>
      </c>
      <c r="E20" s="2" t="s">
        <v>77</v>
      </c>
    </row>
    <row r="21" spans="2:5" ht="75" x14ac:dyDescent="0.25">
      <c r="B21" s="2" t="s">
        <v>78</v>
      </c>
      <c r="C21" s="2" t="s">
        <v>75</v>
      </c>
      <c r="D21" s="3" t="s">
        <v>278</v>
      </c>
      <c r="E21" s="2" t="s">
        <v>77</v>
      </c>
    </row>
    <row r="22" spans="2:5" x14ac:dyDescent="0.25">
      <c r="B22" s="2" t="s">
        <v>78</v>
      </c>
      <c r="C22" s="2" t="s">
        <v>67</v>
      </c>
      <c r="D22" s="2" t="s">
        <v>106</v>
      </c>
      <c r="E22" s="2" t="s">
        <v>77</v>
      </c>
    </row>
    <row r="23" spans="2:5" ht="195" x14ac:dyDescent="0.25">
      <c r="B23" s="2" t="s">
        <v>78</v>
      </c>
      <c r="C23" s="2" t="s">
        <v>57</v>
      </c>
      <c r="D23" s="3" t="s">
        <v>291</v>
      </c>
      <c r="E23" s="2" t="s">
        <v>87</v>
      </c>
    </row>
    <row r="24" spans="2:5" ht="45" x14ac:dyDescent="0.25">
      <c r="B24" s="2" t="s">
        <v>78</v>
      </c>
      <c r="C24" s="2" t="s">
        <v>59</v>
      </c>
      <c r="D24" s="3" t="s">
        <v>287</v>
      </c>
      <c r="E24" s="2" t="s">
        <v>87</v>
      </c>
    </row>
    <row r="25" spans="2:5" ht="165" x14ac:dyDescent="0.25">
      <c r="B25" s="2" t="s">
        <v>78</v>
      </c>
      <c r="C25" s="2" t="s">
        <v>55</v>
      </c>
      <c r="D25" s="3" t="s">
        <v>108</v>
      </c>
      <c r="E25" s="2" t="s">
        <v>80</v>
      </c>
    </row>
    <row r="26" spans="2:5" ht="105" x14ac:dyDescent="0.25">
      <c r="B26" s="2" t="s">
        <v>78</v>
      </c>
      <c r="C26" s="2" t="s">
        <v>71</v>
      </c>
      <c r="D26" s="33" t="s">
        <v>269</v>
      </c>
      <c r="E26" s="2" t="s">
        <v>77</v>
      </c>
    </row>
    <row r="27" spans="2:5" x14ac:dyDescent="0.25">
      <c r="B27" s="2" t="s">
        <v>78</v>
      </c>
      <c r="C27" s="2" t="s">
        <v>70</v>
      </c>
      <c r="D27" s="2" t="s">
        <v>109</v>
      </c>
      <c r="E27" s="2" t="s">
        <v>77</v>
      </c>
    </row>
    <row r="28" spans="2:5" ht="45" x14ac:dyDescent="0.25">
      <c r="B28" s="2" t="s">
        <v>78</v>
      </c>
      <c r="C28" s="2" t="s">
        <v>74</v>
      </c>
      <c r="D28" s="3" t="s">
        <v>277</v>
      </c>
      <c r="E28" s="2" t="s">
        <v>77</v>
      </c>
    </row>
    <row r="29" spans="2:5" ht="105" x14ac:dyDescent="0.25">
      <c r="B29" s="2" t="s">
        <v>78</v>
      </c>
      <c r="C29" s="2" t="s">
        <v>58</v>
      </c>
      <c r="D29" s="3" t="s">
        <v>268</v>
      </c>
      <c r="E29" s="2" t="s">
        <v>87</v>
      </c>
    </row>
    <row r="30" spans="2:5" ht="60" x14ac:dyDescent="0.25">
      <c r="B30" s="2" t="s">
        <v>78</v>
      </c>
      <c r="C30" s="2" t="s">
        <v>69</v>
      </c>
      <c r="D30" s="33" t="s">
        <v>274</v>
      </c>
      <c r="E30" s="2" t="s">
        <v>77</v>
      </c>
    </row>
    <row r="31" spans="2:5" ht="105" x14ac:dyDescent="0.25">
      <c r="B31" s="2" t="s">
        <v>78</v>
      </c>
      <c r="C31" s="2" t="s">
        <v>72</v>
      </c>
      <c r="D31" s="34" t="s">
        <v>270</v>
      </c>
      <c r="E31" s="2" t="s">
        <v>77</v>
      </c>
    </row>
    <row r="32" spans="2:5" x14ac:dyDescent="0.25">
      <c r="B32" s="2" t="s">
        <v>78</v>
      </c>
      <c r="C32" s="2" t="s">
        <v>68</v>
      </c>
      <c r="D32" s="2" t="s">
        <v>110</v>
      </c>
      <c r="E32" s="2" t="s">
        <v>77</v>
      </c>
    </row>
    <row r="33" spans="2:5" ht="60" x14ac:dyDescent="0.25">
      <c r="B33" s="2" t="s">
        <v>78</v>
      </c>
      <c r="C33" s="2" t="s">
        <v>90</v>
      </c>
      <c r="D33" s="33" t="s">
        <v>273</v>
      </c>
      <c r="E33" s="2" t="s">
        <v>77</v>
      </c>
    </row>
    <row r="34" spans="2:5" ht="75" x14ac:dyDescent="0.25">
      <c r="B34" s="2" t="s">
        <v>78</v>
      </c>
      <c r="C34" s="2" t="s">
        <v>200</v>
      </c>
      <c r="D34" s="3" t="s">
        <v>271</v>
      </c>
      <c r="E34" s="2" t="s">
        <v>77</v>
      </c>
    </row>
    <row r="35" spans="2:5" x14ac:dyDescent="0.25">
      <c r="B35" s="2" t="s">
        <v>78</v>
      </c>
      <c r="C35" s="2" t="s">
        <v>199</v>
      </c>
      <c r="D35" s="2" t="s">
        <v>279</v>
      </c>
      <c r="E35" s="2" t="s">
        <v>77</v>
      </c>
    </row>
    <row r="36" spans="2:5" x14ac:dyDescent="0.25">
      <c r="B36" s="2" t="s">
        <v>78</v>
      </c>
      <c r="C36" s="2" t="s">
        <v>132</v>
      </c>
      <c r="D36" s="2" t="s">
        <v>252</v>
      </c>
      <c r="E36" s="2" t="s">
        <v>77</v>
      </c>
    </row>
    <row r="37" spans="2:5" x14ac:dyDescent="0.25">
      <c r="B37" s="2" t="s">
        <v>86</v>
      </c>
      <c r="C37" s="2" t="s">
        <v>135</v>
      </c>
      <c r="D37" s="35" t="s">
        <v>294</v>
      </c>
      <c r="E37" s="2" t="s">
        <v>77</v>
      </c>
    </row>
    <row r="38" spans="2:5" x14ac:dyDescent="0.25">
      <c r="B38" s="2" t="s">
        <v>78</v>
      </c>
      <c r="C38" s="2" t="s">
        <v>201</v>
      </c>
      <c r="D38" s="2" t="s">
        <v>202</v>
      </c>
      <c r="E38" s="2" t="s">
        <v>77</v>
      </c>
    </row>
    <row r="39" spans="2:5" ht="30" x14ac:dyDescent="0.25">
      <c r="B39" s="2" t="s">
        <v>78</v>
      </c>
      <c r="C39" s="2" t="s">
        <v>248</v>
      </c>
      <c r="D39" s="3" t="s">
        <v>285</v>
      </c>
      <c r="E39" s="2" t="s">
        <v>80</v>
      </c>
    </row>
    <row r="40" spans="2:5" ht="30" x14ac:dyDescent="0.25">
      <c r="B40" s="2" t="s">
        <v>78</v>
      </c>
      <c r="C40" s="2" t="s">
        <v>249</v>
      </c>
      <c r="D40" s="3" t="s">
        <v>284</v>
      </c>
      <c r="E40" s="2" t="s">
        <v>80</v>
      </c>
    </row>
    <row r="41" spans="2:5" ht="30" x14ac:dyDescent="0.25">
      <c r="B41" s="2" t="s">
        <v>78</v>
      </c>
      <c r="C41" s="2" t="s">
        <v>250</v>
      </c>
      <c r="D41" s="3" t="s">
        <v>286</v>
      </c>
      <c r="E41" s="2" t="s">
        <v>80</v>
      </c>
    </row>
    <row r="42" spans="2:5" ht="45" x14ac:dyDescent="0.25">
      <c r="B42" s="2" t="s">
        <v>78</v>
      </c>
      <c r="C42" s="2" t="s">
        <v>251</v>
      </c>
      <c r="D42" s="3" t="s">
        <v>280</v>
      </c>
      <c r="E42" s="2" t="s">
        <v>80</v>
      </c>
    </row>
    <row r="43" spans="2:5" ht="90" x14ac:dyDescent="0.25">
      <c r="B43" s="2" t="s">
        <v>78</v>
      </c>
      <c r="C43" s="2" t="s">
        <v>293</v>
      </c>
      <c r="D43" s="33" t="s">
        <v>312</v>
      </c>
      <c r="E43" s="2" t="s">
        <v>80</v>
      </c>
    </row>
    <row r="44" spans="2:5" ht="105" x14ac:dyDescent="0.25">
      <c r="B44" s="2" t="s">
        <v>96</v>
      </c>
      <c r="C44" s="2" t="s">
        <v>99</v>
      </c>
      <c r="D44" s="36" t="s">
        <v>102</v>
      </c>
      <c r="E44" s="2" t="s">
        <v>100</v>
      </c>
    </row>
    <row r="45" spans="2:5" ht="165" x14ac:dyDescent="0.25">
      <c r="B45" s="2" t="s">
        <v>96</v>
      </c>
      <c r="C45" s="2" t="s">
        <v>98</v>
      </c>
      <c r="D45" s="36" t="s">
        <v>101</v>
      </c>
      <c r="E45" s="2" t="s">
        <v>100</v>
      </c>
    </row>
    <row r="46" spans="2:5" ht="105" x14ac:dyDescent="0.25">
      <c r="B46" s="2" t="s">
        <v>96</v>
      </c>
      <c r="C46" s="2" t="s">
        <v>97</v>
      </c>
      <c r="D46" s="36" t="s">
        <v>315</v>
      </c>
      <c r="E46" s="2" t="s">
        <v>100</v>
      </c>
    </row>
    <row r="47" spans="2:5" ht="150" x14ac:dyDescent="0.25">
      <c r="B47" s="2" t="s">
        <v>85</v>
      </c>
      <c r="C47" s="2" t="s">
        <v>50</v>
      </c>
      <c r="D47" s="37" t="s">
        <v>103</v>
      </c>
      <c r="E47" s="2" t="s">
        <v>81</v>
      </c>
    </row>
    <row r="48" spans="2:5" x14ac:dyDescent="0.25">
      <c r="B48" s="2" t="s">
        <v>85</v>
      </c>
      <c r="C48" s="2" t="s">
        <v>218</v>
      </c>
      <c r="D48" s="2" t="s">
        <v>220</v>
      </c>
      <c r="E48" s="2" t="s">
        <v>80</v>
      </c>
    </row>
    <row r="49" spans="2:5" x14ac:dyDescent="0.25">
      <c r="B49" s="2" t="s">
        <v>85</v>
      </c>
      <c r="C49" s="2" t="s">
        <v>219</v>
      </c>
      <c r="D49" s="35" t="s">
        <v>260</v>
      </c>
      <c r="E49" s="2" t="s">
        <v>80</v>
      </c>
    </row>
    <row r="50" spans="2:5" x14ac:dyDescent="0.25">
      <c r="B50" s="2" t="s">
        <v>86</v>
      </c>
      <c r="C50" s="2" t="s">
        <v>207</v>
      </c>
      <c r="D50" s="35" t="s">
        <v>262</v>
      </c>
      <c r="E50" s="2" t="s">
        <v>77</v>
      </c>
    </row>
    <row r="51" spans="2:5" x14ac:dyDescent="0.25">
      <c r="B51" s="2" t="s">
        <v>86</v>
      </c>
      <c r="C51" s="2" t="s">
        <v>204</v>
      </c>
      <c r="D51" s="33" t="s">
        <v>263</v>
      </c>
      <c r="E51" s="2" t="s">
        <v>77</v>
      </c>
    </row>
    <row r="52" spans="2:5" x14ac:dyDescent="0.25">
      <c r="B52" s="2" t="s">
        <v>86</v>
      </c>
      <c r="C52" s="2" t="s">
        <v>205</v>
      </c>
      <c r="D52" s="38" t="s">
        <v>264</v>
      </c>
      <c r="E52" s="2" t="s">
        <v>77</v>
      </c>
    </row>
    <row r="53" spans="2:5" x14ac:dyDescent="0.25">
      <c r="B53" s="2" t="s">
        <v>86</v>
      </c>
      <c r="C53" s="2" t="s">
        <v>206</v>
      </c>
      <c r="D53" s="2" t="s">
        <v>212</v>
      </c>
      <c r="E53" s="2" t="s">
        <v>80</v>
      </c>
    </row>
    <row r="54" spans="2:5" ht="375" x14ac:dyDescent="0.25">
      <c r="B54" s="2" t="s">
        <v>86</v>
      </c>
      <c r="C54" s="2" t="s">
        <v>51</v>
      </c>
      <c r="D54" s="36" t="s">
        <v>265</v>
      </c>
      <c r="E54" s="2" t="s">
        <v>81</v>
      </c>
    </row>
    <row r="55" spans="2:5" x14ac:dyDescent="0.25">
      <c r="B55" s="2" t="s">
        <v>86</v>
      </c>
      <c r="C55" s="2" t="s">
        <v>215</v>
      </c>
      <c r="D55" s="35" t="s">
        <v>261</v>
      </c>
      <c r="E55" s="2" t="s">
        <v>80</v>
      </c>
    </row>
    <row r="56" spans="2:5" ht="285" x14ac:dyDescent="0.25">
      <c r="B56" s="2" t="s">
        <v>82</v>
      </c>
      <c r="C56" s="2" t="s">
        <v>53</v>
      </c>
      <c r="D56" s="39" t="s">
        <v>295</v>
      </c>
      <c r="E56" s="2" t="s">
        <v>81</v>
      </c>
    </row>
    <row r="57" spans="2:5" ht="165" x14ac:dyDescent="0.25">
      <c r="B57" s="2" t="s">
        <v>82</v>
      </c>
      <c r="C57" s="2" t="s">
        <v>111</v>
      </c>
      <c r="D57" s="36" t="s">
        <v>296</v>
      </c>
      <c r="E57" s="2" t="s">
        <v>81</v>
      </c>
    </row>
    <row r="58" spans="2:5" ht="75" x14ac:dyDescent="0.25">
      <c r="B58" s="2" t="s">
        <v>83</v>
      </c>
      <c r="C58" s="2" t="s">
        <v>56</v>
      </c>
      <c r="D58" s="36" t="s">
        <v>107</v>
      </c>
      <c r="E58" s="2" t="s">
        <v>80</v>
      </c>
    </row>
    <row r="59" spans="2:5" ht="105" x14ac:dyDescent="0.25">
      <c r="B59" s="2" t="s">
        <v>83</v>
      </c>
      <c r="C59" s="2" t="s">
        <v>54</v>
      </c>
      <c r="D59" s="36" t="s">
        <v>221</v>
      </c>
      <c r="E59" s="2" t="s">
        <v>81</v>
      </c>
    </row>
    <row r="60" spans="2:5" ht="225" x14ac:dyDescent="0.25">
      <c r="B60" s="2" t="s">
        <v>82</v>
      </c>
      <c r="C60" s="2" t="s">
        <v>283</v>
      </c>
      <c r="D60" s="3" t="s">
        <v>297</v>
      </c>
      <c r="E60" s="2" t="s">
        <v>80</v>
      </c>
    </row>
  </sheetData>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tSim">
    <tabColor theme="1"/>
  </sheetPr>
  <dimension ref="A1"/>
  <sheetViews>
    <sheetView showRowColHeaders="0" topLeftCell="K10" zoomScaleNormal="100" workbookViewId="0">
      <selection activeCell="AE4" sqref="AE4:AE29"/>
    </sheetView>
  </sheetViews>
  <sheetFormatPr defaultColWidth="9.140625" defaultRowHeight="15" x14ac:dyDescent="0.25"/>
  <cols>
    <col min="1" max="1" width="9.140625" style="1" customWidth="1"/>
    <col min="2" max="2" width="8.28515625" style="1" bestFit="1" customWidth="1"/>
    <col min="3" max="28" width="12" style="1" bestFit="1" customWidth="1"/>
    <col min="29" max="29" width="15.7109375" style="1" bestFit="1" customWidth="1"/>
    <col min="30" max="30" width="26.7109375" style="1" bestFit="1" customWidth="1"/>
    <col min="31" max="31" width="15.42578125" style="1" bestFit="1" customWidth="1"/>
    <col min="32" max="32" width="15.42578125" style="1" customWidth="1"/>
    <col min="33" max="598" width="12" style="1" customWidth="1"/>
    <col min="599" max="599" width="15.7109375" style="1" customWidth="1"/>
    <col min="600" max="600" width="26.7109375" style="1" bestFit="1" customWidth="1"/>
    <col min="601" max="601" width="15.42578125" style="1" bestFit="1" customWidth="1"/>
    <col min="602" max="16384" width="9.140625" style="1"/>
  </cols>
  <sheetData/>
  <phoneticPr fontId="58"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theme="1"/>
  </sheetPr>
  <dimension ref="A1:AC9"/>
  <sheetViews>
    <sheetView showRowColHeaders="0" zoomScaleNormal="100" workbookViewId="0">
      <selection activeCell="K7" sqref="K7"/>
    </sheetView>
  </sheetViews>
  <sheetFormatPr defaultColWidth="9.140625" defaultRowHeight="15" x14ac:dyDescent="0.25"/>
  <cols>
    <col min="1" max="16384" width="9.140625" style="1"/>
  </cols>
  <sheetData>
    <row r="1" spans="1:29" x14ac:dyDescent="0.25">
      <c r="A1" s="164" t="s">
        <v>341</v>
      </c>
      <c r="B1" s="165">
        <v>44264.508090277777</v>
      </c>
      <c r="C1" s="164" t="s">
        <v>34</v>
      </c>
      <c r="D1" s="164"/>
      <c r="E1" s="164" t="s">
        <v>2</v>
      </c>
      <c r="F1" s="166">
        <v>0.59375019200000001</v>
      </c>
      <c r="G1" s="166">
        <v>0.59375011799999999</v>
      </c>
      <c r="H1" s="166">
        <v>0.3157900971800417</v>
      </c>
      <c r="I1" s="166">
        <v>0.32163463545133841</v>
      </c>
      <c r="J1" s="166">
        <v>0.55172456593103447</v>
      </c>
      <c r="K1" s="166">
        <v>0.18750007799999999</v>
      </c>
      <c r="L1" s="166">
        <v>1.000000773</v>
      </c>
      <c r="M1" s="166">
        <v>2.0000005729999999</v>
      </c>
      <c r="N1" s="166">
        <v>0.50000098500000001</v>
      </c>
      <c r="O1" s="166" t="e">
        <v>#DIV/0!</v>
      </c>
      <c r="P1" s="166"/>
      <c r="Q1" s="167">
        <v>1</v>
      </c>
      <c r="R1" s="167" t="s">
        <v>16</v>
      </c>
      <c r="S1" s="167" t="s">
        <v>16</v>
      </c>
      <c r="T1" s="167" t="s">
        <v>16</v>
      </c>
      <c r="U1" s="167" t="s">
        <v>16</v>
      </c>
      <c r="V1" s="167">
        <v>1</v>
      </c>
      <c r="W1" s="167">
        <v>1</v>
      </c>
      <c r="X1" s="167" t="s">
        <v>16</v>
      </c>
      <c r="Y1" s="167" t="s">
        <v>16</v>
      </c>
      <c r="Z1" s="167" t="s">
        <v>16</v>
      </c>
      <c r="AA1" s="41"/>
      <c r="AB1" s="41"/>
      <c r="AC1" s="41"/>
    </row>
    <row r="2" spans="1:29" ht="15.75" thickBot="1" x14ac:dyDescent="0.3">
      <c r="A2" s="168" t="s">
        <v>342</v>
      </c>
      <c r="B2" s="169">
        <v>44264.508622685185</v>
      </c>
      <c r="C2" s="168" t="s">
        <v>34</v>
      </c>
      <c r="D2" s="168"/>
      <c r="E2" s="168" t="s">
        <v>2</v>
      </c>
      <c r="F2" s="170">
        <v>0.59375023999999998</v>
      </c>
      <c r="G2" s="170">
        <v>0.59375046300000001</v>
      </c>
      <c r="H2" s="170">
        <v>0.3157913601403064</v>
      </c>
      <c r="I2" s="170">
        <v>0.32163462545133842</v>
      </c>
      <c r="J2" s="170">
        <v>0.55172493193103445</v>
      </c>
      <c r="K2" s="170">
        <v>0.18750085799999999</v>
      </c>
      <c r="L2" s="170">
        <v>1.000000775</v>
      </c>
      <c r="M2" s="170">
        <v>2.000000821</v>
      </c>
      <c r="N2" s="170">
        <v>0.50000100000000003</v>
      </c>
      <c r="O2" s="170" t="e">
        <v>#DIV/0!</v>
      </c>
      <c r="P2" s="170"/>
      <c r="Q2" s="171">
        <v>1</v>
      </c>
      <c r="R2" s="171" t="s">
        <v>16</v>
      </c>
      <c r="S2" s="171" t="s">
        <v>16</v>
      </c>
      <c r="T2" s="171" t="s">
        <v>16</v>
      </c>
      <c r="U2" s="171" t="s">
        <v>16</v>
      </c>
      <c r="V2" s="171" t="s">
        <v>16</v>
      </c>
      <c r="W2" s="171">
        <v>1</v>
      </c>
      <c r="X2" s="171" t="s">
        <v>16</v>
      </c>
      <c r="Y2" s="171" t="s">
        <v>16</v>
      </c>
      <c r="Z2" s="171">
        <v>1</v>
      </c>
      <c r="AA2" s="42"/>
      <c r="AB2" s="42"/>
      <c r="AC2" s="42"/>
    </row>
    <row r="3" spans="1:29" x14ac:dyDescent="0.25">
      <c r="A3" s="164" t="s">
        <v>343</v>
      </c>
      <c r="B3" s="165">
        <v>44264.509062500001</v>
      </c>
      <c r="C3" s="164" t="s">
        <v>34</v>
      </c>
      <c r="D3" s="164"/>
      <c r="E3" s="164" t="s">
        <v>2</v>
      </c>
      <c r="F3" s="166">
        <v>0.59375039900000004</v>
      </c>
      <c r="G3" s="166">
        <v>0.59375084199999995</v>
      </c>
      <c r="H3" s="166">
        <v>0.31579013981158144</v>
      </c>
      <c r="I3" s="166">
        <v>0.32163458645133841</v>
      </c>
      <c r="J3" s="166">
        <v>0.55172506193103443</v>
      </c>
      <c r="K3" s="166">
        <v>0.18750046500000001</v>
      </c>
      <c r="L3" s="166">
        <v>1.0000001999999999</v>
      </c>
      <c r="M3" s="166">
        <v>2.0000008820000001</v>
      </c>
      <c r="N3" s="166">
        <v>0.50000037600000002</v>
      </c>
      <c r="O3" s="166" t="e">
        <v>#DIV/0!</v>
      </c>
      <c r="P3" s="166"/>
      <c r="Q3" s="167">
        <v>1</v>
      </c>
      <c r="R3" s="167" t="s">
        <v>16</v>
      </c>
      <c r="S3" s="167" t="s">
        <v>16</v>
      </c>
      <c r="T3" s="167">
        <v>1</v>
      </c>
      <c r="U3" s="167" t="s">
        <v>16</v>
      </c>
      <c r="V3" s="167" t="s">
        <v>16</v>
      </c>
      <c r="W3" s="167">
        <v>1</v>
      </c>
      <c r="X3" s="167" t="s">
        <v>16</v>
      </c>
      <c r="Y3" s="167" t="s">
        <v>16</v>
      </c>
      <c r="Z3" s="167" t="s">
        <v>16</v>
      </c>
      <c r="AA3" s="43"/>
      <c r="AB3" s="43"/>
      <c r="AC3" s="43"/>
    </row>
    <row r="4" spans="1:29" ht="15.75" thickBot="1" x14ac:dyDescent="0.3">
      <c r="A4" s="172" t="s">
        <v>344</v>
      </c>
      <c r="B4" s="173">
        <v>44264.50949074074</v>
      </c>
      <c r="C4" s="172" t="s">
        <v>34</v>
      </c>
      <c r="D4" s="172"/>
      <c r="E4" s="172" t="s">
        <v>2</v>
      </c>
      <c r="F4" s="174">
        <v>0.59375005300000006</v>
      </c>
      <c r="G4" s="174">
        <v>0.59375034000000004</v>
      </c>
      <c r="H4" s="174">
        <v>0.31579014934064492</v>
      </c>
      <c r="I4" s="174">
        <v>0.32163443745133841</v>
      </c>
      <c r="J4" s="174">
        <v>0.5517247219310345</v>
      </c>
      <c r="K4" s="174">
        <v>0.18750097299999999</v>
      </c>
      <c r="L4" s="174">
        <v>1.0000008339999999</v>
      </c>
      <c r="M4" s="174">
        <v>2.0000001510000001</v>
      </c>
      <c r="N4" s="174">
        <v>0.50000059500000005</v>
      </c>
      <c r="O4" s="174" t="e">
        <v>#DIV/0!</v>
      </c>
      <c r="P4" s="174"/>
      <c r="Q4" s="175">
        <v>1</v>
      </c>
      <c r="R4" s="175">
        <v>1</v>
      </c>
      <c r="S4" s="175" t="s">
        <v>16</v>
      </c>
      <c r="T4" s="175" t="s">
        <v>16</v>
      </c>
      <c r="U4" s="175" t="s">
        <v>16</v>
      </c>
      <c r="V4" s="175" t="s">
        <v>16</v>
      </c>
      <c r="W4" s="175">
        <v>1</v>
      </c>
      <c r="X4" s="175" t="s">
        <v>16</v>
      </c>
      <c r="Y4" s="175" t="s">
        <v>16</v>
      </c>
      <c r="Z4" s="175" t="s">
        <v>16</v>
      </c>
      <c r="AA4" s="44"/>
      <c r="AB4" s="44"/>
      <c r="AC4" s="44"/>
    </row>
    <row r="5" spans="1:29" x14ac:dyDescent="0.25">
      <c r="A5" s="164"/>
      <c r="B5" s="165"/>
      <c r="C5" s="164"/>
      <c r="D5" s="164"/>
      <c r="E5" s="164"/>
      <c r="F5" s="166"/>
      <c r="G5" s="166"/>
      <c r="H5" s="166"/>
      <c r="I5" s="166"/>
      <c r="J5" s="166"/>
      <c r="K5" s="166"/>
      <c r="L5" s="166"/>
      <c r="M5" s="166"/>
      <c r="N5" s="166"/>
      <c r="O5" s="166"/>
      <c r="P5" s="166"/>
      <c r="Q5" s="167"/>
      <c r="R5" s="167"/>
      <c r="S5" s="167"/>
      <c r="T5" s="167"/>
      <c r="U5" s="167"/>
      <c r="V5" s="167"/>
      <c r="W5" s="167"/>
      <c r="X5" s="167"/>
      <c r="Y5" s="167"/>
      <c r="Z5" s="167"/>
      <c r="AA5" s="43"/>
      <c r="AB5" s="43"/>
      <c r="AC5" s="43"/>
    </row>
    <row r="6" spans="1:29" ht="15.75" thickBot="1" x14ac:dyDescent="0.3">
      <c r="A6" s="172"/>
      <c r="B6" s="173"/>
      <c r="C6" s="172"/>
      <c r="D6" s="172"/>
      <c r="E6" s="172"/>
      <c r="F6" s="174"/>
      <c r="G6" s="174"/>
      <c r="H6" s="174"/>
      <c r="I6" s="174"/>
      <c r="J6" s="174"/>
      <c r="K6" s="174"/>
      <c r="L6" s="174"/>
      <c r="M6" s="174"/>
      <c r="N6" s="174"/>
      <c r="O6" s="174"/>
      <c r="P6" s="174"/>
      <c r="Q6" s="175"/>
      <c r="R6" s="175"/>
      <c r="S6" s="175"/>
      <c r="T6" s="175"/>
      <c r="U6" s="175"/>
      <c r="V6" s="175"/>
      <c r="W6" s="175"/>
      <c r="X6" s="175"/>
      <c r="Y6" s="175"/>
      <c r="Z6" s="175"/>
      <c r="AA6" s="44"/>
      <c r="AB6" s="44"/>
      <c r="AC6" s="44"/>
    </row>
    <row r="7" spans="1:29" x14ac:dyDescent="0.25">
      <c r="A7" s="164"/>
      <c r="B7" s="165"/>
      <c r="C7" s="164"/>
      <c r="D7" s="164"/>
      <c r="E7" s="164"/>
      <c r="F7" s="166"/>
      <c r="G7" s="166"/>
      <c r="H7" s="166"/>
      <c r="I7" s="166"/>
      <c r="J7" s="166"/>
      <c r="K7" s="166"/>
      <c r="L7" s="166"/>
      <c r="M7" s="166"/>
      <c r="N7" s="166"/>
      <c r="O7" s="166"/>
      <c r="P7" s="166"/>
      <c r="Q7" s="167"/>
      <c r="R7" s="167"/>
      <c r="S7" s="167"/>
      <c r="T7" s="167"/>
      <c r="U7" s="167"/>
      <c r="V7" s="167"/>
      <c r="W7" s="167"/>
      <c r="X7" s="167"/>
      <c r="Y7" s="167"/>
      <c r="Z7" s="167"/>
      <c r="AA7" s="45"/>
      <c r="AB7" s="45"/>
      <c r="AC7" s="45"/>
    </row>
    <row r="8" spans="1:29" x14ac:dyDescent="0.25">
      <c r="A8" s="168"/>
      <c r="B8" s="169"/>
      <c r="C8" s="168"/>
      <c r="D8" s="168"/>
      <c r="E8" s="168"/>
      <c r="F8" s="170"/>
      <c r="G8" s="170"/>
      <c r="H8" s="170"/>
      <c r="I8" s="170"/>
      <c r="J8" s="170"/>
      <c r="K8" s="170"/>
      <c r="L8" s="170"/>
      <c r="M8" s="170"/>
      <c r="N8" s="170"/>
      <c r="O8" s="170"/>
      <c r="P8" s="170"/>
      <c r="Q8" s="171"/>
      <c r="R8" s="171"/>
      <c r="S8" s="171"/>
      <c r="T8" s="171"/>
      <c r="U8" s="171"/>
      <c r="V8" s="171"/>
      <c r="W8" s="171"/>
      <c r="X8" s="171"/>
      <c r="Y8" s="171"/>
      <c r="Z8" s="171"/>
    </row>
    <row r="9" spans="1:29" ht="15.75" thickBot="1" x14ac:dyDescent="0.3">
      <c r="A9" s="176"/>
      <c r="B9" s="177"/>
      <c r="C9" s="176"/>
      <c r="D9" s="176"/>
      <c r="E9" s="176"/>
      <c r="F9" s="178"/>
      <c r="G9" s="178"/>
      <c r="H9" s="178"/>
      <c r="I9" s="178"/>
      <c r="J9" s="178"/>
      <c r="K9" s="178"/>
      <c r="L9" s="178"/>
      <c r="M9" s="178"/>
      <c r="N9" s="178"/>
      <c r="O9" s="178"/>
      <c r="P9" s="178"/>
      <c r="Q9" s="179"/>
      <c r="R9" s="179"/>
      <c r="S9" s="179"/>
      <c r="T9" s="179"/>
      <c r="U9" s="179"/>
      <c r="V9" s="179"/>
      <c r="W9" s="179"/>
      <c r="X9" s="179"/>
      <c r="Y9" s="179"/>
      <c r="Z9" s="179"/>
    </row>
  </sheetData>
  <dataConsolidate/>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E24"/>
  <sheetViews>
    <sheetView showGridLines="0" showRowColHeaders="0" zoomScaleNormal="100" workbookViewId="0"/>
  </sheetViews>
  <sheetFormatPr defaultColWidth="9.140625" defaultRowHeight="15" x14ac:dyDescent="0.25"/>
  <cols>
    <col min="1" max="16384" width="9.140625" style="48"/>
  </cols>
  <sheetData>
    <row r="1" spans="1:5" ht="20.25" thickBot="1" x14ac:dyDescent="0.35">
      <c r="A1" s="52" t="s">
        <v>88</v>
      </c>
    </row>
    <row r="2" spans="1:5" ht="15.75" thickTop="1" x14ac:dyDescent="0.25"/>
    <row r="3" spans="1:5" x14ac:dyDescent="0.25">
      <c r="A3" s="48" t="s">
        <v>317</v>
      </c>
    </row>
    <row r="4" spans="1:5" x14ac:dyDescent="0.25">
      <c r="A4" s="48" t="s">
        <v>318</v>
      </c>
      <c r="E4" s="55" t="s">
        <v>143</v>
      </c>
    </row>
    <row r="6" spans="1:5" ht="19.5" x14ac:dyDescent="0.3">
      <c r="A6" s="141" t="s">
        <v>333</v>
      </c>
      <c r="B6" s="142"/>
      <c r="C6" s="142"/>
      <c r="D6" s="142"/>
    </row>
    <row r="8" spans="1:5" x14ac:dyDescent="0.25">
      <c r="A8" s="48" t="s">
        <v>334</v>
      </c>
    </row>
    <row r="9" spans="1:5" x14ac:dyDescent="0.25">
      <c r="A9" s="48" t="s">
        <v>335</v>
      </c>
    </row>
    <row r="10" spans="1:5" x14ac:dyDescent="0.25">
      <c r="A10" s="48" t="s">
        <v>337</v>
      </c>
    </row>
    <row r="11" spans="1:5" x14ac:dyDescent="0.25">
      <c r="A11" s="48" t="s">
        <v>336</v>
      </c>
    </row>
    <row r="13" spans="1:5" ht="20.25" thickBot="1" x14ac:dyDescent="0.35">
      <c r="A13" s="52" t="s">
        <v>319</v>
      </c>
    </row>
    <row r="14" spans="1:5" ht="15.75" thickTop="1" x14ac:dyDescent="0.25"/>
    <row r="15" spans="1:5" x14ac:dyDescent="0.25">
      <c r="A15" s="48" t="s">
        <v>320</v>
      </c>
      <c r="E15" s="55"/>
    </row>
    <row r="16" spans="1:5" ht="26.25" x14ac:dyDescent="0.4">
      <c r="A16" s="48" t="s">
        <v>323</v>
      </c>
    </row>
    <row r="17" spans="1:1" ht="26.25" x14ac:dyDescent="0.4">
      <c r="A17" s="48" t="s">
        <v>325</v>
      </c>
    </row>
    <row r="19" spans="1:1" x14ac:dyDescent="0.25">
      <c r="A19" s="48" t="s">
        <v>321</v>
      </c>
    </row>
    <row r="20" spans="1:1" ht="26.25" x14ac:dyDescent="0.4">
      <c r="A20" s="48" t="s">
        <v>324</v>
      </c>
    </row>
    <row r="21" spans="1:1" ht="26.25" x14ac:dyDescent="0.4">
      <c r="A21" s="48" t="s">
        <v>322</v>
      </c>
    </row>
    <row r="22" spans="1:1" ht="26.25" x14ac:dyDescent="0.4">
      <c r="A22" s="48" t="s">
        <v>326</v>
      </c>
    </row>
    <row r="23" spans="1:1" x14ac:dyDescent="0.25">
      <c r="A23" s="48" t="s">
        <v>327</v>
      </c>
    </row>
    <row r="24" spans="1:1" x14ac:dyDescent="0.25">
      <c r="A24" s="48" t="s">
        <v>328</v>
      </c>
    </row>
  </sheetData>
  <sheetProtection sheet="1" objects="1" scenarios="1"/>
  <hyperlinks>
    <hyperlink ref="E4" r:id="rId1" xr:uid="{00000000-0004-0000-1500-00000000000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C8630D48F9BDB42984D81768DDD8A22" ma:contentTypeVersion="12" ma:contentTypeDescription="Create a new document." ma:contentTypeScope="" ma:versionID="5326c936d73e5c12b26b4a829fadd0fb">
  <xsd:schema xmlns:xsd="http://www.w3.org/2001/XMLSchema" xmlns:xs="http://www.w3.org/2001/XMLSchema" xmlns:p="http://schemas.microsoft.com/office/2006/metadata/properties" xmlns:ns2="01ab04a8-0525-4d24-b9c0-84eeeb081442" xmlns:ns3="e41fb002-f7bc-473a-b370-9107dfd020b7" targetNamespace="http://schemas.microsoft.com/office/2006/metadata/properties" ma:root="true" ma:fieldsID="1e5a917d1c518061e7aa832a46043da4" ns2:_="" ns3:_="">
    <xsd:import namespace="01ab04a8-0525-4d24-b9c0-84eeeb081442"/>
    <xsd:import namespace="e41fb002-f7bc-473a-b370-9107dfd020b7"/>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3:MediaServiceEventHashCode" minOccurs="0"/>
                <xsd:element ref="ns3:MediaServiceGenerationTim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ab04a8-0525-4d24-b9c0-84eeeb081442"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1fb002-f7bc-473a-b370-9107dfd020b7"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description=""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Location" ma:index="15" nillable="true" ma:displayName="MediaServiceLocation" ma:internalName="MediaServiceLocatio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139E8BD-D9B2-4092-9BB2-9876B90F6F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ab04a8-0525-4d24-b9c0-84eeeb081442"/>
    <ds:schemaRef ds:uri="e41fb002-f7bc-473a-b370-9107dfd020b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70CA172-5043-4BA9-A80E-CFECB5B88AD6}">
  <ds:schemaRefs>
    <ds:schemaRef ds:uri="http://schemas.microsoft.com/sharepoint/v3/contenttype/forms"/>
  </ds:schemaRefs>
</ds:datastoreItem>
</file>

<file path=customXml/itemProps3.xml><?xml version="1.0" encoding="utf-8"?>
<ds:datastoreItem xmlns:ds="http://schemas.openxmlformats.org/officeDocument/2006/customXml" ds:itemID="{6854467A-AC0C-4EF3-927B-B6408BBD057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99</vt:i4>
      </vt:variant>
    </vt:vector>
  </HeadingPairs>
  <TitlesOfParts>
    <vt:vector size="121" baseType="lpstr">
      <vt:lpstr>Get Started</vt:lpstr>
      <vt:lpstr>Sheet1</vt:lpstr>
      <vt:lpstr>Input Data</vt:lpstr>
      <vt:lpstr>Select Data</vt:lpstr>
      <vt:lpstr>Consistency and Coverage</vt:lpstr>
      <vt:lpstr>Design &amp; Evaluate</vt:lpstr>
      <vt:lpstr>View Models</vt:lpstr>
      <vt:lpstr>RawData</vt:lpstr>
      <vt:lpstr>Search Results</vt:lpstr>
      <vt:lpstr>Decision Tree</vt:lpstr>
      <vt:lpstr>View Cases</vt:lpstr>
      <vt:lpstr>Shared Coverage</vt:lpstr>
      <vt:lpstr>Compare Models</vt:lpstr>
      <vt:lpstr>User Notes</vt:lpstr>
      <vt:lpstr>Bug fixes</vt:lpstr>
      <vt:lpstr>Internal</vt:lpstr>
      <vt:lpstr>Hidden Data</vt:lpstr>
      <vt:lpstr>Workings</vt:lpstr>
      <vt:lpstr>Reference</vt:lpstr>
      <vt:lpstr>Similarity</vt:lpstr>
      <vt:lpstr>Hidden Models</vt:lpstr>
      <vt:lpstr>HELP</vt:lpstr>
      <vt:lpstr>Accuracy</vt:lpstr>
      <vt:lpstr>attr_Electoral_system</vt:lpstr>
      <vt:lpstr>Internal!AttributeColCountError</vt:lpstr>
      <vt:lpstr>attributeConfigCount</vt:lpstr>
      <vt:lpstr>attributeCount</vt:lpstr>
      <vt:lpstr>AttributeLabel</vt:lpstr>
      <vt:lpstr>attributes</vt:lpstr>
      <vt:lpstr>attributeString</vt:lpstr>
      <vt:lpstr>attSelectors</vt:lpstr>
      <vt:lpstr>Balanced_Accuracy</vt:lpstr>
      <vt:lpstr>CasesXModels_MaxModels</vt:lpstr>
      <vt:lpstr>columnSelections</vt:lpstr>
      <vt:lpstr>conAndDivSearchStartValue</vt:lpstr>
      <vt:lpstr>Consistency</vt:lpstr>
      <vt:lpstr>consistencyAndCoverage</vt:lpstr>
      <vt:lpstr>consistencyAndCoverageFormula</vt:lpstr>
      <vt:lpstr>Coverage</vt:lpstr>
      <vt:lpstr>coverageName</vt:lpstr>
      <vt:lpstr>data_consistency</vt:lpstr>
      <vt:lpstr>data_diversity</vt:lpstr>
      <vt:lpstr>DataLabelColumnHeader</vt:lpstr>
      <vt:lpstr>DataOutcomeColumnHeader</vt:lpstr>
      <vt:lpstr>DataStrings</vt:lpstr>
      <vt:lpstr>DefaultInputColumnType</vt:lpstr>
      <vt:lpstr>DefaultTypeForFirstInputColumn</vt:lpstr>
      <vt:lpstr>DefaultTypeForLastInputColumn</vt:lpstr>
      <vt:lpstr>Diversity_Possible</vt:lpstr>
      <vt:lpstr>Diversity_Present</vt:lpstr>
      <vt:lpstr>ExhaustiveWarnLimit</vt:lpstr>
      <vt:lpstr>F_Score</vt:lpstr>
      <vt:lpstr>False_Negative</vt:lpstr>
      <vt:lpstr>False_Positive</vt:lpstr>
      <vt:lpstr>FN</vt:lpstr>
      <vt:lpstr>FP</vt:lpstr>
      <vt:lpstr>Gini_Index</vt:lpstr>
      <vt:lpstr>groupConsistency</vt:lpstr>
      <vt:lpstr>groupsize</vt:lpstr>
      <vt:lpstr>IDLabel</vt:lpstr>
      <vt:lpstr>IgnoreLabel</vt:lpstr>
      <vt:lpstr>Internal!InputColCountsValid</vt:lpstr>
      <vt:lpstr>InputColumnTypeErrors</vt:lpstr>
      <vt:lpstr>InputColumnTypes</vt:lpstr>
      <vt:lpstr>istp</vt:lpstr>
      <vt:lpstr>Internal!LabelColCountError</vt:lpstr>
      <vt:lpstr>Lift</vt:lpstr>
      <vt:lpstr>Likelihood_Ratio</vt:lpstr>
      <vt:lpstr>MatchColumn</vt:lpstr>
      <vt:lpstr>maxModels</vt:lpstr>
      <vt:lpstr>MCC</vt:lpstr>
      <vt:lpstr>MeasureName</vt:lpstr>
      <vt:lpstr>Missing_Data</vt:lpstr>
      <vt:lpstr>ModelConfigOptions</vt:lpstr>
      <vt:lpstr>ModelConfiguration</vt:lpstr>
      <vt:lpstr>Internal!ModelDefaultConfiguration</vt:lpstr>
      <vt:lpstr>ModelName</vt:lpstr>
      <vt:lpstr>ModelNAValue</vt:lpstr>
      <vt:lpstr>Necessity</vt:lpstr>
      <vt:lpstr>Null_Error_Rate</vt:lpstr>
      <vt:lpstr>outcome</vt:lpstr>
      <vt:lpstr>Internal!OutcomeColCountError</vt:lpstr>
      <vt:lpstr>outcomeConfigCount</vt:lpstr>
      <vt:lpstr>OutcomeLabel</vt:lpstr>
      <vt:lpstr>OutcomeName</vt:lpstr>
      <vt:lpstr>outcomeString</vt:lpstr>
      <vt:lpstr>PasteInstructions</vt:lpstr>
      <vt:lpstr>PresentOrAbsent</vt:lpstr>
      <vt:lpstr>Prevalence</vt:lpstr>
      <vt:lpstr>RandFactor</vt:lpstr>
      <vt:lpstr>SavedModelType_DT</vt:lpstr>
      <vt:lpstr>Internal!SavedModelType_Ex1</vt:lpstr>
      <vt:lpstr>Internal!SavedModelType_Ex2</vt:lpstr>
      <vt:lpstr>SavedModelType_nands</vt:lpstr>
      <vt:lpstr>SavedModelType_nnots</vt:lpstr>
      <vt:lpstr>SavedModelType_notsnotn</vt:lpstr>
      <vt:lpstr>SavedModelType_snotn</vt:lpstr>
      <vt:lpstr>Internal!SavedModelType_User</vt:lpstr>
      <vt:lpstr>SearchOptions</vt:lpstr>
      <vt:lpstr>selected</vt:lpstr>
      <vt:lpstr>'Shared Coverage'!SelectedModel</vt:lpstr>
      <vt:lpstr>SelectedModel</vt:lpstr>
      <vt:lpstr>Internal!SelectedSavedModelRowNumber</vt:lpstr>
      <vt:lpstr>StatusHead</vt:lpstr>
      <vt:lpstr>Sufficiency</vt:lpstr>
      <vt:lpstr>TargetOutcome</vt:lpstr>
      <vt:lpstr>'Compare Models'!TempStatusColumn</vt:lpstr>
      <vt:lpstr>'Decision Tree'!TempStatusColumn</vt:lpstr>
      <vt:lpstr>TempStatusColumn</vt:lpstr>
      <vt:lpstr>tfpn</vt:lpstr>
      <vt:lpstr>TN</vt:lpstr>
      <vt:lpstr>TotalCases</vt:lpstr>
      <vt:lpstr>TP</vt:lpstr>
      <vt:lpstr>TreeHead</vt:lpstr>
      <vt:lpstr>True_Negative</vt:lpstr>
      <vt:lpstr>True_Positive</vt:lpstr>
      <vt:lpstr>UniqueCasesCount</vt:lpstr>
      <vt:lpstr>User_Defined</vt:lpstr>
      <vt:lpstr>VersionId</vt:lpstr>
      <vt:lpstr>VersionNumber</vt:lpstr>
      <vt:lpstr>visibleGroupConsistency</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 Davies</dc:creator>
  <cp:lastModifiedBy>Rick Davies</cp:lastModifiedBy>
  <cp:lastPrinted>2017-05-03T10:54:35Z</cp:lastPrinted>
  <dcterms:created xsi:type="dcterms:W3CDTF">2015-04-27T08:35:56Z</dcterms:created>
  <dcterms:modified xsi:type="dcterms:W3CDTF">2021-03-11T16:02:53Z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c4c4df5d-8c60-4f26-91ee-20e1b1d7d9f5</vt:lpwstr>
  </property>
  <property fmtid="{D5CDD505-2E9C-101B-9397-08002B2CF9AE}" pid="3" name="ContentTypeId">
    <vt:lpwstr>0x0101009C8630D48F9BDB42984D81768DDD8A22</vt:lpwstr>
  </property>
</Properties>
</file>